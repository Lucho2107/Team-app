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lejandrorestrepo/Desktop/Streamlit Team App/data/"/>
    </mc:Choice>
  </mc:AlternateContent>
  <xr:revisionPtr revIDLastSave="0" documentId="13_ncr:1_{6DA712FB-CBF3-F14C-B384-B0288847CF6C}" xr6:coauthVersionLast="47" xr6:coauthVersionMax="47" xr10:uidLastSave="{00000000-0000-0000-0000-000000000000}"/>
  <bookViews>
    <workbookView xWindow="0" yWindow="760" windowWidth="29400" windowHeight="16760" xr2:uid="{55647C75-A5AD-C94E-944A-A5D94B9ED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B3" i="1" l="1"/>
  <c r="HB4" i="1"/>
  <c r="HB5" i="1"/>
  <c r="HB6" i="1"/>
  <c r="HB7" i="1"/>
  <c r="HB8" i="1"/>
  <c r="HB9" i="1"/>
  <c r="HB10" i="1"/>
  <c r="HB11" i="1"/>
  <c r="HB12" i="1"/>
  <c r="HB13" i="1"/>
  <c r="HB14" i="1"/>
  <c r="HB15" i="1"/>
  <c r="HB16" i="1"/>
  <c r="HB17" i="1"/>
  <c r="HB18" i="1"/>
  <c r="HB19" i="1"/>
  <c r="HB20" i="1"/>
  <c r="HB21" i="1"/>
  <c r="HB2" i="1"/>
  <c r="HA3" i="1"/>
  <c r="HA4" i="1"/>
  <c r="HA5" i="1"/>
  <c r="HA6" i="1"/>
  <c r="HA7" i="1"/>
  <c r="HA8" i="1"/>
  <c r="HA9" i="1"/>
  <c r="HA10" i="1"/>
  <c r="HA11" i="1"/>
  <c r="HA12" i="1"/>
  <c r="HA13" i="1"/>
  <c r="HA14" i="1"/>
  <c r="HA15" i="1"/>
  <c r="HA16" i="1"/>
  <c r="HA17" i="1"/>
  <c r="HA18" i="1"/>
  <c r="HA19" i="1"/>
  <c r="HA20" i="1"/>
  <c r="HA21" i="1"/>
  <c r="HA2" i="1"/>
  <c r="GZ3" i="1"/>
  <c r="GZ4" i="1"/>
  <c r="GZ5" i="1"/>
  <c r="GZ6" i="1"/>
  <c r="GZ7" i="1"/>
  <c r="GZ8" i="1"/>
  <c r="GZ9" i="1"/>
  <c r="GZ10" i="1"/>
  <c r="GZ11" i="1"/>
  <c r="GZ12" i="1"/>
  <c r="GZ13" i="1"/>
  <c r="GZ14" i="1"/>
  <c r="GZ15" i="1"/>
  <c r="GZ16" i="1"/>
  <c r="GZ17" i="1"/>
  <c r="GZ18" i="1"/>
  <c r="GZ19" i="1"/>
  <c r="GZ20" i="1"/>
  <c r="GZ21" i="1"/>
  <c r="GZ2" i="1"/>
  <c r="GY3" i="1"/>
  <c r="GY4" i="1"/>
  <c r="GY5" i="1"/>
  <c r="GY6" i="1"/>
  <c r="GY7" i="1"/>
  <c r="GY8" i="1"/>
  <c r="GY9" i="1"/>
  <c r="GY10" i="1"/>
  <c r="GY11" i="1"/>
  <c r="GY12" i="1"/>
  <c r="GY13" i="1"/>
  <c r="GY14" i="1"/>
  <c r="GY15" i="1"/>
  <c r="GY16" i="1"/>
  <c r="GY17" i="1"/>
  <c r="GY18" i="1"/>
  <c r="GY19" i="1"/>
  <c r="GY20" i="1"/>
  <c r="GY21" i="1"/>
  <c r="GX3" i="1"/>
  <c r="GX4" i="1"/>
  <c r="GX5" i="1"/>
  <c r="GX6" i="1"/>
  <c r="GX7" i="1"/>
  <c r="GX8" i="1"/>
  <c r="GX9" i="1"/>
  <c r="GX10" i="1"/>
  <c r="GX11" i="1"/>
  <c r="GX12" i="1"/>
  <c r="GX13" i="1"/>
  <c r="GX14" i="1"/>
  <c r="GX15" i="1"/>
  <c r="GX16" i="1"/>
  <c r="GX17" i="1"/>
  <c r="GX18" i="1"/>
  <c r="GX19" i="1"/>
  <c r="GX20" i="1"/>
  <c r="GX21" i="1"/>
  <c r="GY2" i="1"/>
  <c r="GX2" i="1"/>
  <c r="GW3" i="1"/>
  <c r="GW4" i="1"/>
  <c r="GW5" i="1"/>
  <c r="GW6" i="1"/>
  <c r="GW7" i="1"/>
  <c r="GW8" i="1"/>
  <c r="GW9" i="1"/>
  <c r="GW10" i="1"/>
  <c r="GW11" i="1"/>
  <c r="GW12" i="1"/>
  <c r="GW13" i="1"/>
  <c r="GW14" i="1"/>
  <c r="GW15" i="1"/>
  <c r="GW16" i="1"/>
  <c r="GW17" i="1"/>
  <c r="GW18" i="1"/>
  <c r="GW19" i="1"/>
  <c r="GW20" i="1"/>
  <c r="GW21" i="1"/>
  <c r="GW2" i="1"/>
  <c r="GV3" i="1"/>
  <c r="GV4" i="1"/>
  <c r="GV5" i="1"/>
  <c r="GV6" i="1"/>
  <c r="GV7" i="1"/>
  <c r="GV8" i="1"/>
  <c r="GV9" i="1"/>
  <c r="GV10" i="1"/>
  <c r="GV11" i="1"/>
  <c r="GV12" i="1"/>
  <c r="GV13" i="1"/>
  <c r="GV14" i="1"/>
  <c r="GV15" i="1"/>
  <c r="GV16" i="1"/>
  <c r="GV17" i="1"/>
  <c r="GV18" i="1"/>
  <c r="GV19" i="1"/>
  <c r="GV20" i="1"/>
  <c r="GV21" i="1"/>
  <c r="GV2" i="1"/>
  <c r="GU3" i="1"/>
  <c r="GU4" i="1"/>
  <c r="GU5" i="1"/>
  <c r="GU6" i="1"/>
  <c r="GU7" i="1"/>
  <c r="GU8" i="1"/>
  <c r="GU9" i="1"/>
  <c r="GU10" i="1"/>
  <c r="GU11" i="1"/>
  <c r="GU12" i="1"/>
  <c r="GU13" i="1"/>
  <c r="GU14" i="1"/>
  <c r="GU15" i="1"/>
  <c r="GU16" i="1"/>
  <c r="GU17" i="1"/>
  <c r="GU18" i="1"/>
  <c r="GU19" i="1"/>
  <c r="GU20" i="1"/>
  <c r="GU21" i="1"/>
  <c r="GU2" i="1"/>
  <c r="GT3" i="1"/>
  <c r="GT4" i="1"/>
  <c r="GT5" i="1"/>
  <c r="GT6" i="1"/>
  <c r="GT7" i="1"/>
  <c r="GT8" i="1"/>
  <c r="GT9" i="1"/>
  <c r="GT10" i="1"/>
  <c r="GT11" i="1"/>
  <c r="GT12" i="1"/>
  <c r="GT13" i="1"/>
  <c r="GT14" i="1"/>
  <c r="GT15" i="1"/>
  <c r="GT16" i="1"/>
  <c r="GT17" i="1"/>
  <c r="GT18" i="1"/>
  <c r="GT19" i="1"/>
  <c r="GT20" i="1"/>
  <c r="GT21" i="1"/>
  <c r="GT2" i="1"/>
  <c r="GS3" i="1"/>
  <c r="GS4" i="1"/>
  <c r="GS5" i="1"/>
  <c r="GS6" i="1"/>
  <c r="GS7" i="1"/>
  <c r="GS8" i="1"/>
  <c r="GS9" i="1"/>
  <c r="GS10" i="1"/>
  <c r="GS11" i="1"/>
  <c r="GS12" i="1"/>
  <c r="GS13" i="1"/>
  <c r="GS14" i="1"/>
  <c r="GS15" i="1"/>
  <c r="GS16" i="1"/>
  <c r="GS17" i="1"/>
  <c r="GS18" i="1"/>
  <c r="GS19" i="1"/>
  <c r="GS20" i="1"/>
  <c r="GS21" i="1"/>
  <c r="GS2" i="1"/>
  <c r="GR3" i="1"/>
  <c r="GR4" i="1"/>
  <c r="GR5" i="1"/>
  <c r="GR6" i="1"/>
  <c r="GR7" i="1"/>
  <c r="GR8" i="1"/>
  <c r="GR9" i="1"/>
  <c r="GR10" i="1"/>
  <c r="GR11" i="1"/>
  <c r="GR12" i="1"/>
  <c r="GR13" i="1"/>
  <c r="GR14" i="1"/>
  <c r="GR15" i="1"/>
  <c r="GR16" i="1"/>
  <c r="GR17" i="1"/>
  <c r="GR18" i="1"/>
  <c r="GR19" i="1"/>
  <c r="GR20" i="1"/>
  <c r="GR21" i="1"/>
  <c r="GR2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GN1" i="1"/>
  <c r="GO1" i="1"/>
  <c r="GP1" i="1"/>
  <c r="GQ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EE1" i="1"/>
  <c r="EF1" i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EY1" i="1"/>
  <c r="EZ1" i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FO1" i="1"/>
  <c r="FP1" i="1"/>
  <c r="FQ1" i="1"/>
  <c r="FR1" i="1"/>
  <c r="FS1" i="1"/>
  <c r="FT1" i="1"/>
  <c r="CW1" i="1"/>
</calcChain>
</file>

<file path=xl/sharedStrings.xml><?xml version="1.0" encoding="utf-8"?>
<sst xmlns="http://schemas.openxmlformats.org/spreadsheetml/2006/main" count="131" uniqueCount="131">
  <si>
    <t>Goles</t>
  </si>
  <si>
    <t>xG</t>
  </si>
  <si>
    <t>Posesión del balón, %</t>
  </si>
  <si>
    <t>Pases cruzados en profundidad completados</t>
  </si>
  <si>
    <t>Pases en profundidad completados</t>
  </si>
  <si>
    <t>Toques en el área de penalti</t>
  </si>
  <si>
    <t>Fuera de juego</t>
  </si>
  <si>
    <t>Interceptaciones</t>
  </si>
  <si>
    <t>Despejes</t>
  </si>
  <si>
    <t>Faltas</t>
  </si>
  <si>
    <t>Tarjetas amarillas</t>
  </si>
  <si>
    <t>Tarjetas rojas</t>
  </si>
  <si>
    <t>Saques de meta</t>
  </si>
  <si>
    <t>Intensidad de paso</t>
  </si>
  <si>
    <t>Promedio pases por posesión del balón</t>
  </si>
  <si>
    <t>Lanzamiento largo %</t>
  </si>
  <si>
    <t>Distancia media de tiro</t>
  </si>
  <si>
    <t>Longitud media pases</t>
  </si>
  <si>
    <t>PPDA</t>
  </si>
  <si>
    <t>Pases Acertados</t>
  </si>
  <si>
    <t>% Pases Acertados</t>
  </si>
  <si>
    <t xml:space="preserve">Pases </t>
  </si>
  <si>
    <t>Perdidas bajas</t>
  </si>
  <si>
    <t>Perdidas Medias</t>
  </si>
  <si>
    <t>Perdidas Altas</t>
  </si>
  <si>
    <t>Perdidas</t>
  </si>
  <si>
    <t>Recuperaciones</t>
  </si>
  <si>
    <t>Recuperaciones Bajas</t>
  </si>
  <si>
    <t>Recuperaciones Medias</t>
  </si>
  <si>
    <t>Recuperaciones Altas</t>
  </si>
  <si>
    <t>Duelos</t>
  </si>
  <si>
    <t>Duelos ganados</t>
  </si>
  <si>
    <t>% Duelos Ganados</t>
  </si>
  <si>
    <t>Ataques posicionales</t>
  </si>
  <si>
    <t>Ataques posicionales con remate</t>
  </si>
  <si>
    <t>% Ataques posicionales con remate</t>
  </si>
  <si>
    <t>Contraataques</t>
  </si>
  <si>
    <t>Contraataques con remate</t>
  </si>
  <si>
    <t>% Contraataques con remate</t>
  </si>
  <si>
    <t>Jugadas a balón parado</t>
  </si>
  <si>
    <t>Jugadas a balón parado con remate</t>
  </si>
  <si>
    <t>% Jugadas a balón parado con remate</t>
  </si>
  <si>
    <t>Córneres con remate</t>
  </si>
  <si>
    <t>Córneres</t>
  </si>
  <si>
    <t>%, Córneres con remate</t>
  </si>
  <si>
    <t>Tiros libres con remate</t>
  </si>
  <si>
    <t>Tiros libres</t>
  </si>
  <si>
    <t>% Tiros libres con remate</t>
  </si>
  <si>
    <t>Penaltis</t>
  </si>
  <si>
    <t>Penaltis Marcados</t>
  </si>
  <si>
    <t>% Penaltis Marcados</t>
  </si>
  <si>
    <t>Centros</t>
  </si>
  <si>
    <t>Centros precisos</t>
  </si>
  <si>
    <t>% Centros Precisos</t>
  </si>
  <si>
    <t>Entradas al área de penalti</t>
  </si>
  <si>
    <t>Entradas al área de penalti (pases cruzados)</t>
  </si>
  <si>
    <t>Entradas al área de penalti (carreras)</t>
  </si>
  <si>
    <t>Duelos ofensivos</t>
  </si>
  <si>
    <t>Duelos ofensivos ganados</t>
  </si>
  <si>
    <t>% Duelos ofensivos ganados</t>
  </si>
  <si>
    <t>Duelos defensivos ganados</t>
  </si>
  <si>
    <t>Duelos defensivos</t>
  </si>
  <si>
    <t>% Duelos defensivos ganados</t>
  </si>
  <si>
    <t>Duelos aéreos ganados</t>
  </si>
  <si>
    <t xml:space="preserve">Duelos aéreos </t>
  </si>
  <si>
    <t>% Duelos aéreos ganados</t>
  </si>
  <si>
    <t>Entradas a ras de suelo logradas</t>
  </si>
  <si>
    <t xml:space="preserve">Entradas a ras de suelo </t>
  </si>
  <si>
    <t>% Entradas a ras de suelo logradas</t>
  </si>
  <si>
    <t>Pases hacia adelante logrados</t>
  </si>
  <si>
    <t xml:space="preserve">Pases hacia adelante </t>
  </si>
  <si>
    <t>% Pases hacia adelante logrados</t>
  </si>
  <si>
    <t>Pases hacia atrás logrados</t>
  </si>
  <si>
    <t xml:space="preserve">Pases hacia atrás </t>
  </si>
  <si>
    <t>% Pases hacia atrás logrados</t>
  </si>
  <si>
    <t>Pases laterales logrados</t>
  </si>
  <si>
    <t xml:space="preserve">Pases laterales </t>
  </si>
  <si>
    <t>% Pases laterales logrados</t>
  </si>
  <si>
    <t xml:space="preserve">Pases largos </t>
  </si>
  <si>
    <t>Pases largos llogrados</t>
  </si>
  <si>
    <t>% Pases largos logrados</t>
  </si>
  <si>
    <t>Pases en el último tercio logrados</t>
  </si>
  <si>
    <t xml:space="preserve">Pases en el último tercio </t>
  </si>
  <si>
    <t>% Pases en el último tercio logrados</t>
  </si>
  <si>
    <t>Pases progresivos precisos</t>
  </si>
  <si>
    <t xml:space="preserve">Pases progresivos </t>
  </si>
  <si>
    <t>% Pases progresivos precisos</t>
  </si>
  <si>
    <t>Desmarques logrados</t>
  </si>
  <si>
    <t xml:space="preserve">Desmarques </t>
  </si>
  <si>
    <t>% Desmarques logrados</t>
  </si>
  <si>
    <t>Saques laterales logrados</t>
  </si>
  <si>
    <t xml:space="preserve">Saques laterales </t>
  </si>
  <si>
    <t>% Saques laterales logrados</t>
  </si>
  <si>
    <t>Águilas Doradas</t>
  </si>
  <si>
    <t>Alianza</t>
  </si>
  <si>
    <t>América de Cali</t>
  </si>
  <si>
    <t>Atlético Bucaramanga</t>
  </si>
  <si>
    <t>Atlético Nacional</t>
  </si>
  <si>
    <t>Boyacá Chicó</t>
  </si>
  <si>
    <t>Cúcuta Deportivo</t>
  </si>
  <si>
    <t>Deportivo Cali</t>
  </si>
  <si>
    <t>Deportivo Pasto</t>
  </si>
  <si>
    <t>Deportivo Pereira</t>
  </si>
  <si>
    <t>Fortaleza</t>
  </si>
  <si>
    <t>Inter Bogotá</t>
  </si>
  <si>
    <t>Jaguares de Córdoba</t>
  </si>
  <si>
    <t>Junior</t>
  </si>
  <si>
    <t>Llaneros</t>
  </si>
  <si>
    <t>Medellín</t>
  </si>
  <si>
    <t>Millonarios</t>
  </si>
  <si>
    <t>Once Caldas</t>
  </si>
  <si>
    <t>Santa Fe</t>
  </si>
  <si>
    <t>Tolima</t>
  </si>
  <si>
    <t>Teams</t>
  </si>
  <si>
    <t>Non Penalty xG</t>
  </si>
  <si>
    <t>Non Penalty xG_Rival</t>
  </si>
  <si>
    <t>Goles-Goles Esperados</t>
  </si>
  <si>
    <t>Goles en Contra - Goles Esperados en Contra</t>
  </si>
  <si>
    <t>Remates dentro del Area</t>
  </si>
  <si>
    <t>Remates dentro del Area_Rival</t>
  </si>
  <si>
    <t>% Recuperaciones Bajas</t>
  </si>
  <si>
    <t>% Recuperaciones Medias</t>
  </si>
  <si>
    <t>% Recuperaciones Altas</t>
  </si>
  <si>
    <t>xG por Remate</t>
  </si>
  <si>
    <t>xG por Remate_Rival</t>
  </si>
  <si>
    <t>Remates</t>
  </si>
  <si>
    <t>Remates al arco</t>
  </si>
  <si>
    <t>% Remates al arco</t>
  </si>
  <si>
    <t xml:space="preserve">Remates de fuera del área </t>
  </si>
  <si>
    <t>Remates de fuera del área al arco</t>
  </si>
  <si>
    <t>% Remates de fuera del área al 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</si>
</sst>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3FC8-8389-2B4E-9C7F-964071352BBA}">
  <dimension ref="A1:HB21"/>
  <sheetViews>
    <sheetView tabSelected="1" topLeftCell="DH1" workbookViewId="0">
      <selection activeCell="EC1" sqref="EC1"/>
    </sheetView>
  </sheetViews>
  <sheetFormatPr baseColWidth="10" defaultRowHeight="16" x14ac:dyDescent="0.2"/>
  <cols>
    <col min="1" max="1" width="14" bestFit="1" customWidth="1"/>
  </cols>
  <sheetData>
    <row r="1" spans="1:210" x14ac:dyDescent="0.2">
      <c r="A1" t="s">
        <v>113</v>
      </c>
      <c r="B1" t="s">
        <v>0</v>
      </c>
      <c r="C1" t="s">
        <v>1</v>
      </c>
      <c r="D1" t="s">
        <v>125</v>
      </c>
      <c r="E1" t="s">
        <v>126</v>
      </c>
      <c r="F1" t="s">
        <v>127</v>
      </c>
      <c r="G1" t="s">
        <v>21</v>
      </c>
      <c r="H1" t="s">
        <v>19</v>
      </c>
      <c r="I1" t="s">
        <v>20</v>
      </c>
      <c r="J1" t="s">
        <v>2</v>
      </c>
      <c r="K1" t="s">
        <v>25</v>
      </c>
      <c r="L1" t="s">
        <v>22</v>
      </c>
      <c r="M1" t="s">
        <v>23</v>
      </c>
      <c r="N1" t="s">
        <v>24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128</v>
      </c>
      <c r="W1" t="s">
        <v>129</v>
      </c>
      <c r="X1" t="s">
        <v>130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43</v>
      </c>
      <c r="AI1" t="s">
        <v>42</v>
      </c>
      <c r="AJ1" t="s">
        <v>44</v>
      </c>
      <c r="AK1" t="s">
        <v>46</v>
      </c>
      <c r="AL1" t="s">
        <v>45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3</v>
      </c>
      <c r="AU1" t="s">
        <v>4</v>
      </c>
      <c r="AV1" t="s">
        <v>54</v>
      </c>
      <c r="AW1" t="s">
        <v>56</v>
      </c>
      <c r="AX1" t="s">
        <v>55</v>
      </c>
      <c r="AY1" t="s">
        <v>5</v>
      </c>
      <c r="AZ1" t="s">
        <v>57</v>
      </c>
      <c r="BA1" t="s">
        <v>58</v>
      </c>
      <c r="BB1" t="s">
        <v>59</v>
      </c>
      <c r="BC1" t="s">
        <v>6</v>
      </c>
      <c r="BD1" t="s">
        <v>61</v>
      </c>
      <c r="BE1" t="s">
        <v>60</v>
      </c>
      <c r="BF1" t="s">
        <v>62</v>
      </c>
      <c r="BG1" t="s">
        <v>64</v>
      </c>
      <c r="BH1" t="s">
        <v>63</v>
      </c>
      <c r="BI1" t="s">
        <v>65</v>
      </c>
      <c r="BJ1" t="s">
        <v>67</v>
      </c>
      <c r="BK1" t="s">
        <v>66</v>
      </c>
      <c r="BL1" t="s">
        <v>68</v>
      </c>
      <c r="BM1" t="s">
        <v>7</v>
      </c>
      <c r="BN1" t="s">
        <v>8</v>
      </c>
      <c r="BO1" t="s">
        <v>9</v>
      </c>
      <c r="BP1" t="s">
        <v>10</v>
      </c>
      <c r="BQ1" t="s">
        <v>11</v>
      </c>
      <c r="BR1" t="s">
        <v>70</v>
      </c>
      <c r="BS1" t="s">
        <v>69</v>
      </c>
      <c r="BT1" t="s">
        <v>71</v>
      </c>
      <c r="BU1" t="s">
        <v>73</v>
      </c>
      <c r="BV1" t="s">
        <v>72</v>
      </c>
      <c r="BW1" t="s">
        <v>74</v>
      </c>
      <c r="BX1" t="s">
        <v>76</v>
      </c>
      <c r="BY1" t="s">
        <v>75</v>
      </c>
      <c r="BZ1" t="s">
        <v>77</v>
      </c>
      <c r="CA1" t="s">
        <v>78</v>
      </c>
      <c r="CB1" t="s">
        <v>79</v>
      </c>
      <c r="CC1" t="s">
        <v>80</v>
      </c>
      <c r="CD1" t="s">
        <v>82</v>
      </c>
      <c r="CE1" t="s">
        <v>81</v>
      </c>
      <c r="CF1" t="s">
        <v>83</v>
      </c>
      <c r="CG1" t="s">
        <v>85</v>
      </c>
      <c r="CH1" t="s">
        <v>84</v>
      </c>
      <c r="CI1" t="s">
        <v>86</v>
      </c>
      <c r="CJ1" t="s">
        <v>88</v>
      </c>
      <c r="CK1" t="s">
        <v>87</v>
      </c>
      <c r="CL1" t="s">
        <v>89</v>
      </c>
      <c r="CM1" t="s">
        <v>91</v>
      </c>
      <c r="CN1" t="s">
        <v>90</v>
      </c>
      <c r="CO1" t="s">
        <v>92</v>
      </c>
      <c r="CP1" t="s">
        <v>12</v>
      </c>
      <c r="CQ1" t="s">
        <v>13</v>
      </c>
      <c r="CR1" t="s">
        <v>14</v>
      </c>
      <c r="CS1" t="s">
        <v>15</v>
      </c>
      <c r="CT1" t="s">
        <v>16</v>
      </c>
      <c r="CU1" t="s">
        <v>17</v>
      </c>
      <c r="CV1" t="s">
        <v>18</v>
      </c>
      <c r="CW1" t="str">
        <f>B1&amp;"_rival"</f>
        <v>Goles_rival</v>
      </c>
      <c r="CX1" t="str">
        <f t="shared" ref="CX1:FI1" si="0">C1&amp;"_rival"</f>
        <v>xG_rival</v>
      </c>
      <c r="CY1" t="str">
        <f t="shared" si="0"/>
        <v>Remates_rival</v>
      </c>
      <c r="CZ1" t="str">
        <f t="shared" si="0"/>
        <v>Remates al arco_rival</v>
      </c>
      <c r="DA1" t="str">
        <f t="shared" si="0"/>
        <v>% Remates al arco_rival</v>
      </c>
      <c r="DB1" t="str">
        <f t="shared" si="0"/>
        <v>Pases _rival</v>
      </c>
      <c r="DC1" t="str">
        <f t="shared" si="0"/>
        <v>Pases Acertados_rival</v>
      </c>
      <c r="DD1" t="str">
        <f t="shared" si="0"/>
        <v>% Pases Acertados_rival</v>
      </c>
      <c r="DE1" t="str">
        <f t="shared" si="0"/>
        <v>Posesión del balón, %_rival</v>
      </c>
      <c r="DF1" t="str">
        <f t="shared" si="0"/>
        <v>Perdidas_rival</v>
      </c>
      <c r="DG1" t="str">
        <f t="shared" si="0"/>
        <v>Perdidas bajas_rival</v>
      </c>
      <c r="DH1" t="str">
        <f t="shared" si="0"/>
        <v>Perdidas Medias_rival</v>
      </c>
      <c r="DI1" t="str">
        <f t="shared" si="0"/>
        <v>Perdidas Altas_rival</v>
      </c>
      <c r="DJ1" t="str">
        <f t="shared" si="0"/>
        <v>Recuperaciones_rival</v>
      </c>
      <c r="DK1" t="str">
        <f t="shared" si="0"/>
        <v>Recuperaciones Bajas_rival</v>
      </c>
      <c r="DL1" t="str">
        <f t="shared" si="0"/>
        <v>Recuperaciones Medias_rival</v>
      </c>
      <c r="DM1" t="str">
        <f t="shared" si="0"/>
        <v>Recuperaciones Altas_rival</v>
      </c>
      <c r="DN1" t="str">
        <f t="shared" si="0"/>
        <v>Duelos_rival</v>
      </c>
      <c r="DO1" t="str">
        <f t="shared" si="0"/>
        <v>Duelos ganados_rival</v>
      </c>
      <c r="DP1" t="str">
        <f t="shared" si="0"/>
        <v>% Duelos Ganados_rival</v>
      </c>
      <c r="DQ1" t="str">
        <f t="shared" si="0"/>
        <v>Remates de fuera del área _rival</v>
      </c>
      <c r="DR1" t="str">
        <f t="shared" si="0"/>
        <v>Remates de fuera del área al arco_rival</v>
      </c>
      <c r="DS1" t="str">
        <f t="shared" si="0"/>
        <v>% Remates de fuera del área al arco_rival</v>
      </c>
      <c r="DT1" t="str">
        <f t="shared" si="0"/>
        <v>Ataques posicionales_rival</v>
      </c>
      <c r="DU1" t="str">
        <f t="shared" si="0"/>
        <v>Ataques posicionales con remate_rival</v>
      </c>
      <c r="DV1" t="str">
        <f t="shared" si="0"/>
        <v>% Ataques posicionales con remate_rival</v>
      </c>
      <c r="DW1" t="str">
        <f t="shared" si="0"/>
        <v>Contraataques_rival</v>
      </c>
      <c r="DX1" t="str">
        <f t="shared" si="0"/>
        <v>Contraataques con remate_rival</v>
      </c>
      <c r="DY1" t="str">
        <f t="shared" si="0"/>
        <v>% Contraataques con remate_rival</v>
      </c>
      <c r="DZ1" t="str">
        <f t="shared" si="0"/>
        <v>Jugadas a balón parado_rival</v>
      </c>
      <c r="EA1" t="str">
        <f t="shared" si="0"/>
        <v>Jugadas a balón parado con remate_rival</v>
      </c>
      <c r="EB1" t="str">
        <f t="shared" si="0"/>
        <v>% Jugadas a balón parado con remate_rival</v>
      </c>
      <c r="EC1" t="str">
        <f t="shared" si="0"/>
        <v>Córneres_rival</v>
      </c>
      <c r="ED1" t="str">
        <f t="shared" si="0"/>
        <v>Córneres con remate_rival</v>
      </c>
      <c r="EE1" t="str">
        <f t="shared" si="0"/>
        <v>%, Córneres con remate_rival</v>
      </c>
      <c r="EF1" t="str">
        <f t="shared" si="0"/>
        <v>Tiros libres_rival</v>
      </c>
      <c r="EG1" t="str">
        <f t="shared" si="0"/>
        <v>Tiros libres con remate_rival</v>
      </c>
      <c r="EH1" t="str">
        <f t="shared" si="0"/>
        <v>% Tiros libres con remate_rival</v>
      </c>
      <c r="EI1" t="str">
        <f t="shared" si="0"/>
        <v>Penaltis_rival</v>
      </c>
      <c r="EJ1" t="str">
        <f t="shared" si="0"/>
        <v>Penaltis Marcados_rival</v>
      </c>
      <c r="EK1" t="str">
        <f t="shared" si="0"/>
        <v>% Penaltis Marcados_rival</v>
      </c>
      <c r="EL1" t="str">
        <f t="shared" si="0"/>
        <v>Centros_rival</v>
      </c>
      <c r="EM1" t="str">
        <f t="shared" si="0"/>
        <v>Centros precisos_rival</v>
      </c>
      <c r="EN1" t="str">
        <f t="shared" si="0"/>
        <v>% Centros Precisos_rival</v>
      </c>
      <c r="EO1" t="str">
        <f t="shared" si="0"/>
        <v>Pases cruzados en profundidad completados_rival</v>
      </c>
      <c r="EP1" t="str">
        <f t="shared" si="0"/>
        <v>Pases en profundidad completados_rival</v>
      </c>
      <c r="EQ1" t="str">
        <f t="shared" si="0"/>
        <v>Entradas al área de penalti_rival</v>
      </c>
      <c r="ER1" t="str">
        <f t="shared" si="0"/>
        <v>Entradas al área de penalti (carreras)_rival</v>
      </c>
      <c r="ES1" t="str">
        <f t="shared" si="0"/>
        <v>Entradas al área de penalti (pases cruzados)_rival</v>
      </c>
      <c r="ET1" t="str">
        <f t="shared" si="0"/>
        <v>Toques en el área de penalti_rival</v>
      </c>
      <c r="EU1" t="str">
        <f t="shared" si="0"/>
        <v>Duelos ofensivos_rival</v>
      </c>
      <c r="EV1" t="str">
        <f t="shared" si="0"/>
        <v>Duelos ofensivos ganados_rival</v>
      </c>
      <c r="EW1" t="str">
        <f t="shared" si="0"/>
        <v>% Duelos ofensivos ganados_rival</v>
      </c>
      <c r="EX1" t="str">
        <f t="shared" si="0"/>
        <v>Fuera de juego_rival</v>
      </c>
      <c r="EY1" t="str">
        <f t="shared" si="0"/>
        <v>Duelos defensivos_rival</v>
      </c>
      <c r="EZ1" t="str">
        <f t="shared" si="0"/>
        <v>Duelos defensivos ganados_rival</v>
      </c>
      <c r="FA1" t="str">
        <f t="shared" si="0"/>
        <v>% Duelos defensivos ganados_rival</v>
      </c>
      <c r="FB1" t="str">
        <f t="shared" si="0"/>
        <v>Duelos aéreos _rival</v>
      </c>
      <c r="FC1" t="str">
        <f t="shared" si="0"/>
        <v>Duelos aéreos ganados_rival</v>
      </c>
      <c r="FD1" t="str">
        <f t="shared" si="0"/>
        <v>% Duelos aéreos ganados_rival</v>
      </c>
      <c r="FE1" t="str">
        <f t="shared" si="0"/>
        <v>Entradas a ras de suelo _rival</v>
      </c>
      <c r="FF1" t="str">
        <f t="shared" si="0"/>
        <v>Entradas a ras de suelo logradas_rival</v>
      </c>
      <c r="FG1" t="str">
        <f t="shared" si="0"/>
        <v>% Entradas a ras de suelo logradas_rival</v>
      </c>
      <c r="FH1" t="str">
        <f t="shared" si="0"/>
        <v>Interceptaciones_rival</v>
      </c>
      <c r="FI1" t="str">
        <f t="shared" si="0"/>
        <v>Despejes_rival</v>
      </c>
      <c r="FJ1" t="str">
        <f t="shared" ref="FJ1:FT1" si="1">BO1&amp;"_rival"</f>
        <v>Faltas_rival</v>
      </c>
      <c r="FK1" t="str">
        <f t="shared" si="1"/>
        <v>Tarjetas amarillas_rival</v>
      </c>
      <c r="FL1" t="str">
        <f t="shared" si="1"/>
        <v>Tarjetas rojas_rival</v>
      </c>
      <c r="FM1" t="str">
        <f t="shared" si="1"/>
        <v>Pases hacia adelante _rival</v>
      </c>
      <c r="FN1" t="str">
        <f t="shared" si="1"/>
        <v>Pases hacia adelante logrados_rival</v>
      </c>
      <c r="FO1" t="str">
        <f t="shared" si="1"/>
        <v>% Pases hacia adelante logrados_rival</v>
      </c>
      <c r="FP1" t="str">
        <f t="shared" si="1"/>
        <v>Pases hacia atrás _rival</v>
      </c>
      <c r="FQ1" t="str">
        <f t="shared" si="1"/>
        <v>Pases hacia atrás logrados_rival</v>
      </c>
      <c r="FR1" t="str">
        <f t="shared" si="1"/>
        <v>% Pases hacia atrás logrados_rival</v>
      </c>
      <c r="FS1" t="str">
        <f t="shared" si="1"/>
        <v>Pases laterales _rival</v>
      </c>
      <c r="FT1" t="str">
        <f t="shared" si="1"/>
        <v>Pases laterales logrados_rival</v>
      </c>
      <c r="FU1" t="str">
        <f t="shared" ref="FU1" si="2">BZ1&amp;"_rival"</f>
        <v>% Pases laterales logrados_rival</v>
      </c>
      <c r="FV1" t="str">
        <f t="shared" ref="FV1" si="3">CA1&amp;"_rival"</f>
        <v>Pases largos _rival</v>
      </c>
      <c r="FW1" t="str">
        <f t="shared" ref="FW1" si="4">CB1&amp;"_rival"</f>
        <v>Pases largos llogrados_rival</v>
      </c>
      <c r="FX1" t="str">
        <f t="shared" ref="FX1" si="5">CC1&amp;"_rival"</f>
        <v>% Pases largos logrados_rival</v>
      </c>
      <c r="FY1" t="str">
        <f t="shared" ref="FY1" si="6">CD1&amp;"_rival"</f>
        <v>Pases en el último tercio _rival</v>
      </c>
      <c r="FZ1" t="str">
        <f t="shared" ref="FZ1" si="7">CE1&amp;"_rival"</f>
        <v>Pases en el último tercio logrados_rival</v>
      </c>
      <c r="GA1" t="str">
        <f t="shared" ref="GA1" si="8">CF1&amp;"_rival"</f>
        <v>% Pases en el último tercio logrados_rival</v>
      </c>
      <c r="GB1" t="str">
        <f t="shared" ref="GB1" si="9">CG1&amp;"_rival"</f>
        <v>Pases progresivos _rival</v>
      </c>
      <c r="GC1" t="str">
        <f t="shared" ref="GC1" si="10">CH1&amp;"_rival"</f>
        <v>Pases progresivos precisos_rival</v>
      </c>
      <c r="GD1" t="str">
        <f t="shared" ref="GD1" si="11">CI1&amp;"_rival"</f>
        <v>% Pases progresivos precisos_rival</v>
      </c>
      <c r="GE1" t="str">
        <f t="shared" ref="GE1" si="12">CJ1&amp;"_rival"</f>
        <v>Desmarques _rival</v>
      </c>
      <c r="GF1" t="str">
        <f t="shared" ref="GF1" si="13">CK1&amp;"_rival"</f>
        <v>Desmarques logrados_rival</v>
      </c>
      <c r="GG1" t="str">
        <f t="shared" ref="GG1" si="14">CL1&amp;"_rival"</f>
        <v>% Desmarques logrados_rival</v>
      </c>
      <c r="GH1" t="str">
        <f t="shared" ref="GH1" si="15">CM1&amp;"_rival"</f>
        <v>Saques laterales _rival</v>
      </c>
      <c r="GI1" t="str">
        <f t="shared" ref="GI1" si="16">CN1&amp;"_rival"</f>
        <v>Saques laterales logrados_rival</v>
      </c>
      <c r="GJ1" t="str">
        <f t="shared" ref="GJ1" si="17">CO1&amp;"_rival"</f>
        <v>% Saques laterales logrados_rival</v>
      </c>
      <c r="GK1" t="str">
        <f t="shared" ref="GK1" si="18">CP1&amp;"_rival"</f>
        <v>Saques de meta_rival</v>
      </c>
      <c r="GL1" t="str">
        <f t="shared" ref="GL1" si="19">CQ1&amp;"_rival"</f>
        <v>Intensidad de paso_rival</v>
      </c>
      <c r="GM1" t="str">
        <f t="shared" ref="GM1" si="20">CR1&amp;"_rival"</f>
        <v>Promedio pases por posesión del balón_rival</v>
      </c>
      <c r="GN1" t="str">
        <f t="shared" ref="GN1" si="21">CS1&amp;"_rival"</f>
        <v>Lanzamiento largo %_rival</v>
      </c>
      <c r="GO1" t="str">
        <f t="shared" ref="GO1" si="22">CT1&amp;"_rival"</f>
        <v>Distancia media de tiro_rival</v>
      </c>
      <c r="GP1" t="str">
        <f t="shared" ref="GP1" si="23">CU1&amp;"_rival"</f>
        <v>Longitud media pases_rival</v>
      </c>
      <c r="GQ1" t="str">
        <f t="shared" ref="GQ1" si="24">CV1&amp;"_rival"</f>
        <v>PPDA_rival</v>
      </c>
      <c r="GR1" t="s">
        <v>114</v>
      </c>
      <c r="GS1" t="s">
        <v>115</v>
      </c>
      <c r="GT1" t="s">
        <v>116</v>
      </c>
      <c r="GU1" t="s">
        <v>117</v>
      </c>
      <c r="GV1" t="s">
        <v>118</v>
      </c>
      <c r="GW1" t="s">
        <v>119</v>
      </c>
      <c r="GX1" t="s">
        <v>120</v>
      </c>
      <c r="GY1" t="s">
        <v>121</v>
      </c>
      <c r="GZ1" t="s">
        <v>122</v>
      </c>
      <c r="HA1" t="s">
        <v>123</v>
      </c>
      <c r="HB1" t="s">
        <v>124</v>
      </c>
    </row>
    <row r="2" spans="1:210" x14ac:dyDescent="0.2">
      <c r="A2" s="1" t="s">
        <v>93</v>
      </c>
      <c r="B2">
        <v>1.2857142857142858</v>
      </c>
      <c r="C2">
        <v>1.337142857142857</v>
      </c>
      <c r="D2">
        <v>11.571428571428571</v>
      </c>
      <c r="E2">
        <v>3.5714285714285716</v>
      </c>
      <c r="F2">
        <v>30.864197530864196</v>
      </c>
      <c r="G2">
        <v>331.57142857142856</v>
      </c>
      <c r="H2">
        <v>266.85714285714283</v>
      </c>
      <c r="I2">
        <v>80.48255062473072</v>
      </c>
      <c r="J2">
        <v>49.115714285714297</v>
      </c>
      <c r="K2">
        <v>105.71428571428571</v>
      </c>
      <c r="L2">
        <v>18.857142857142858</v>
      </c>
      <c r="M2">
        <v>34.571428571428569</v>
      </c>
      <c r="N2">
        <v>52.285714285714285</v>
      </c>
      <c r="O2">
        <v>78.142857142857139</v>
      </c>
      <c r="P2">
        <v>38.285714285714285</v>
      </c>
      <c r="Q2">
        <v>28.142857142857142</v>
      </c>
      <c r="R2">
        <v>11.714285714285714</v>
      </c>
      <c r="S2">
        <v>175</v>
      </c>
      <c r="T2">
        <v>81.285714285714292</v>
      </c>
      <c r="U2">
        <v>46.448979591836739</v>
      </c>
      <c r="V2">
        <v>5</v>
      </c>
      <c r="W2">
        <v>1.1428571428571428</v>
      </c>
      <c r="X2">
        <v>22.857142857142858</v>
      </c>
      <c r="Y2">
        <v>24.857142857142858</v>
      </c>
      <c r="Z2">
        <v>6.4285714285714288</v>
      </c>
      <c r="AA2">
        <v>25.862068965517242</v>
      </c>
      <c r="AB2">
        <v>1.5714285714285714</v>
      </c>
      <c r="AC2">
        <v>0.5714285714285714</v>
      </c>
      <c r="AD2">
        <v>36.363636363636367</v>
      </c>
      <c r="AE2">
        <v>24.285714285714285</v>
      </c>
      <c r="AF2">
        <v>4.1428571428571432</v>
      </c>
      <c r="AG2">
        <v>17.058823529411764</v>
      </c>
      <c r="AH2">
        <v>5.1428571428571432</v>
      </c>
      <c r="AI2">
        <v>2.1428571428571428</v>
      </c>
      <c r="AJ2">
        <v>41.666666666666671</v>
      </c>
      <c r="AK2">
        <v>3</v>
      </c>
      <c r="AL2">
        <v>1</v>
      </c>
      <c r="AM2">
        <v>33.333333333333329</v>
      </c>
      <c r="AN2">
        <v>0</v>
      </c>
      <c r="AO2">
        <v>0</v>
      </c>
      <c r="AP2">
        <v>0</v>
      </c>
      <c r="AQ2">
        <v>13.857142857142858</v>
      </c>
      <c r="AR2">
        <v>5.7142857142857144</v>
      </c>
      <c r="AS2">
        <v>41.237113402061851</v>
      </c>
      <c r="AT2">
        <v>5.8571428571428568</v>
      </c>
      <c r="AU2">
        <v>4.8571428571428568</v>
      </c>
      <c r="AV2">
        <v>21</v>
      </c>
      <c r="AW2">
        <v>2.2857142857142856</v>
      </c>
      <c r="AX2">
        <v>9.7142857142857135</v>
      </c>
      <c r="AY2">
        <v>16.571428571428573</v>
      </c>
      <c r="AZ2">
        <v>55.571428571428569</v>
      </c>
      <c r="BA2">
        <v>22.714285714285715</v>
      </c>
      <c r="BB2">
        <v>40.874035989717221</v>
      </c>
      <c r="BC2">
        <v>2.8571428571428572</v>
      </c>
      <c r="BD2">
        <v>53.428571428571431</v>
      </c>
      <c r="BE2">
        <v>30.571428571428573</v>
      </c>
      <c r="BF2">
        <v>57.219251336898388</v>
      </c>
      <c r="BG2">
        <v>39.428571428571431</v>
      </c>
      <c r="BH2">
        <v>16.571428571428573</v>
      </c>
      <c r="BI2">
        <v>42.028985507246375</v>
      </c>
      <c r="BJ2">
        <v>2.5714285714285716</v>
      </c>
      <c r="BK2">
        <v>1.7142857142857142</v>
      </c>
      <c r="BL2">
        <v>66.666666666666657</v>
      </c>
      <c r="BM2">
        <v>37</v>
      </c>
      <c r="BN2">
        <v>20.428571428571427</v>
      </c>
      <c r="BO2">
        <v>11.714285714285714</v>
      </c>
      <c r="BP2">
        <v>2.5714285714285716</v>
      </c>
      <c r="BQ2">
        <v>0</v>
      </c>
      <c r="BR2">
        <v>112.14285714285714</v>
      </c>
      <c r="BS2">
        <v>76.571428571428569</v>
      </c>
      <c r="BT2">
        <v>68.280254777070056</v>
      </c>
      <c r="BU2">
        <v>41.857142857142854</v>
      </c>
      <c r="BV2">
        <v>39.428571428571431</v>
      </c>
      <c r="BW2">
        <v>94.197952218430032</v>
      </c>
      <c r="BX2">
        <v>129.57142857142858</v>
      </c>
      <c r="BY2">
        <v>111.85714285714286</v>
      </c>
      <c r="BZ2">
        <v>86.328555678059544</v>
      </c>
      <c r="CA2">
        <v>46.571428571428569</v>
      </c>
      <c r="CB2">
        <v>24.571428571428573</v>
      </c>
      <c r="CC2">
        <v>52.760736196319016</v>
      </c>
      <c r="CD2">
        <v>50.714285714285715</v>
      </c>
      <c r="CE2">
        <v>33.142857142857146</v>
      </c>
      <c r="CF2">
        <v>65.352112676056336</v>
      </c>
      <c r="CG2">
        <v>61.428571428571431</v>
      </c>
      <c r="CH2">
        <v>44.428571428571431</v>
      </c>
      <c r="CI2">
        <v>72.325581395348834</v>
      </c>
      <c r="CJ2">
        <v>0.7142857142857143</v>
      </c>
      <c r="CK2">
        <v>0.14285714285714285</v>
      </c>
      <c r="CL2">
        <v>20</v>
      </c>
      <c r="CM2">
        <v>18.714285714285715</v>
      </c>
      <c r="CN2">
        <v>15.142857142857142</v>
      </c>
      <c r="CO2">
        <v>80.916030534351151</v>
      </c>
      <c r="CP2">
        <v>7.8571428571428568</v>
      </c>
      <c r="CQ2">
        <v>15.08</v>
      </c>
      <c r="CR2">
        <v>3.3628571428571425</v>
      </c>
      <c r="CS2">
        <v>14.497142857142858</v>
      </c>
      <c r="CT2">
        <v>19.692857142857143</v>
      </c>
      <c r="CU2">
        <v>20.91714285714286</v>
      </c>
      <c r="CV2">
        <v>11.294285714285715</v>
      </c>
      <c r="CW2">
        <v>1.1428571428571428</v>
      </c>
      <c r="CX2">
        <v>1.0614285714285714</v>
      </c>
      <c r="CY2">
        <v>12.142857142857142</v>
      </c>
      <c r="CZ2">
        <v>4.7142857142857144</v>
      </c>
      <c r="DA2">
        <v>38.82352941176471</v>
      </c>
      <c r="DB2">
        <v>364</v>
      </c>
      <c r="DC2">
        <v>297.85714285714283</v>
      </c>
      <c r="DD2">
        <v>81.828885400313965</v>
      </c>
      <c r="DE2">
        <v>50.884285714285703</v>
      </c>
      <c r="DF2">
        <v>105.14285714285714</v>
      </c>
      <c r="DG2">
        <v>20.428571428571427</v>
      </c>
      <c r="DH2">
        <v>33.142857142857146</v>
      </c>
      <c r="DI2">
        <v>51.571428571428569</v>
      </c>
      <c r="DJ2">
        <v>74.285714285714292</v>
      </c>
      <c r="DK2">
        <v>35.285714285714285</v>
      </c>
      <c r="DL2">
        <v>28</v>
      </c>
      <c r="DM2">
        <v>11</v>
      </c>
      <c r="DN2">
        <v>175</v>
      </c>
      <c r="DO2">
        <v>85</v>
      </c>
      <c r="DP2">
        <v>48.571428571428569</v>
      </c>
      <c r="DQ2">
        <v>7</v>
      </c>
      <c r="DR2">
        <v>2.4285714285714284</v>
      </c>
      <c r="DS2">
        <v>34.693877551020407</v>
      </c>
      <c r="DT2">
        <v>28</v>
      </c>
      <c r="DU2">
        <v>6.7142857142857144</v>
      </c>
      <c r="DV2">
        <v>23.979591836734691</v>
      </c>
      <c r="DW2">
        <v>0.5714285714285714</v>
      </c>
      <c r="DX2">
        <v>0</v>
      </c>
      <c r="DY2">
        <v>0</v>
      </c>
      <c r="DZ2">
        <v>25.142857142857142</v>
      </c>
      <c r="EA2">
        <v>4.2857142857142856</v>
      </c>
      <c r="EB2">
        <v>17.045454545454543</v>
      </c>
      <c r="EC2">
        <v>4.4285714285714288</v>
      </c>
      <c r="ED2">
        <v>1.5714285714285714</v>
      </c>
      <c r="EE2">
        <v>35.483870967741936</v>
      </c>
      <c r="EF2">
        <v>3</v>
      </c>
      <c r="EG2">
        <v>0.8571428571428571</v>
      </c>
      <c r="EH2">
        <v>28.571428571428569</v>
      </c>
      <c r="EI2">
        <v>0.2857142857142857</v>
      </c>
      <c r="EJ2">
        <v>0.2857142857142857</v>
      </c>
      <c r="EK2">
        <v>100</v>
      </c>
      <c r="EL2">
        <v>14</v>
      </c>
      <c r="EM2">
        <v>3.5714285714285716</v>
      </c>
      <c r="EN2">
        <v>25.510204081632654</v>
      </c>
      <c r="EO2">
        <v>4.1428571428571432</v>
      </c>
      <c r="EP2">
        <v>5.5714285714285712</v>
      </c>
      <c r="EQ2">
        <v>21.714285714285715</v>
      </c>
      <c r="ER2">
        <v>2</v>
      </c>
      <c r="ES2">
        <v>9.4285714285714288</v>
      </c>
      <c r="ET2">
        <v>12.142857142857142</v>
      </c>
      <c r="EU2">
        <v>53.428571428571431</v>
      </c>
      <c r="EV2">
        <v>22.857142857142858</v>
      </c>
      <c r="EW2">
        <v>42.780748663101605</v>
      </c>
      <c r="EX2">
        <v>1.2857142857142858</v>
      </c>
      <c r="EY2">
        <v>55.571428571428569</v>
      </c>
      <c r="EZ2">
        <v>32.857142857142854</v>
      </c>
      <c r="FA2">
        <v>59.125964010282772</v>
      </c>
      <c r="FB2">
        <v>39.428571428571431</v>
      </c>
      <c r="FC2">
        <v>19.142857142857142</v>
      </c>
      <c r="FD2">
        <v>48.550724637681157</v>
      </c>
      <c r="FE2">
        <v>3.8571428571428572</v>
      </c>
      <c r="FF2">
        <v>2.1428571428571428</v>
      </c>
      <c r="FG2">
        <v>55.555555555555557</v>
      </c>
      <c r="FH2">
        <v>38.285714285714285</v>
      </c>
      <c r="FI2">
        <v>23.857142857142858</v>
      </c>
      <c r="FJ2">
        <v>11.428571428571429</v>
      </c>
      <c r="FK2">
        <v>2.8571428571428572</v>
      </c>
      <c r="FL2">
        <v>0.42857142857142855</v>
      </c>
      <c r="FM2">
        <v>134.85714285714286</v>
      </c>
      <c r="FN2">
        <v>98.857142857142861</v>
      </c>
      <c r="FO2">
        <v>73.305084745762713</v>
      </c>
      <c r="FP2">
        <v>46.857142857142854</v>
      </c>
      <c r="FQ2">
        <v>42.714285714285715</v>
      </c>
      <c r="FR2">
        <v>91.158536585365852</v>
      </c>
      <c r="FS2">
        <v>120</v>
      </c>
      <c r="FT2">
        <v>104.28571428571429</v>
      </c>
      <c r="FU2">
        <v>86.904761904761912</v>
      </c>
      <c r="FV2">
        <v>40.428571428571431</v>
      </c>
      <c r="FW2">
        <v>21.285714285714285</v>
      </c>
      <c r="FX2">
        <v>52.650176678445227</v>
      </c>
      <c r="FY2">
        <v>54.428571428571431</v>
      </c>
      <c r="FZ2">
        <v>39.714285714285715</v>
      </c>
      <c r="GA2">
        <v>72.965879265091857</v>
      </c>
      <c r="GB2">
        <v>68.285714285714292</v>
      </c>
      <c r="GC2">
        <v>49.571428571428569</v>
      </c>
      <c r="GD2">
        <v>72.594142259414227</v>
      </c>
      <c r="GE2">
        <v>0.5714285714285714</v>
      </c>
      <c r="GF2">
        <v>0.14285714285714285</v>
      </c>
      <c r="GG2">
        <v>25</v>
      </c>
      <c r="GH2">
        <v>18</v>
      </c>
      <c r="GI2">
        <v>15.428571428571429</v>
      </c>
      <c r="GJ2">
        <v>85.714285714285708</v>
      </c>
      <c r="GK2">
        <v>8.7142857142857135</v>
      </c>
      <c r="GL2">
        <v>16.011428571428571</v>
      </c>
      <c r="GM2">
        <v>3.7514285714285713</v>
      </c>
      <c r="GN2">
        <v>11.484285714285715</v>
      </c>
      <c r="GO2">
        <v>21.684285714285714</v>
      </c>
      <c r="GP2">
        <v>19.721428571428572</v>
      </c>
      <c r="GQ2">
        <v>11.51</v>
      </c>
      <c r="GR2">
        <f>C2- (AN2*0.76)</f>
        <v>1.337142857142857</v>
      </c>
      <c r="GS2">
        <f>CX2-(EI2*0.76)</f>
        <v>0.84428571428571431</v>
      </c>
      <c r="GT2">
        <f>B2-C2</f>
        <v>-5.1428571428571157E-2</v>
      </c>
      <c r="GU2">
        <f>CW2-CX2</f>
        <v>8.1428571428571406E-2</v>
      </c>
      <c r="GV2">
        <f>D2-V2</f>
        <v>6.5714285714285712</v>
      </c>
      <c r="GW2">
        <f>CY2-DQ2</f>
        <v>5.1428571428571423</v>
      </c>
      <c r="GX2" s="2">
        <f>P2/O2</f>
        <v>0.48994515539305306</v>
      </c>
      <c r="GY2" s="2">
        <f>Q2/O2</f>
        <v>0.36014625228519198</v>
      </c>
      <c r="GZ2" s="2">
        <f>R2/O2</f>
        <v>0.14990859232175502</v>
      </c>
      <c r="HA2">
        <f>C2/D2</f>
        <v>0.11555555555555554</v>
      </c>
      <c r="HB2">
        <f>CX2/CY2</f>
        <v>8.7411764705882355E-2</v>
      </c>
    </row>
    <row r="3" spans="1:210" x14ac:dyDescent="0.2">
      <c r="A3" t="s">
        <v>94</v>
      </c>
      <c r="B3">
        <v>0.42857142857142855</v>
      </c>
      <c r="C3">
        <v>0.75</v>
      </c>
      <c r="D3">
        <v>11.285714285714286</v>
      </c>
      <c r="E3">
        <v>3</v>
      </c>
      <c r="F3">
        <v>26.582278481012654</v>
      </c>
      <c r="G3">
        <v>398.85714285714283</v>
      </c>
      <c r="H3">
        <v>328.57142857142856</v>
      </c>
      <c r="I3">
        <v>82.378223495702002</v>
      </c>
      <c r="J3">
        <v>49.535714285714278</v>
      </c>
      <c r="K3">
        <v>95.714285714285708</v>
      </c>
      <c r="L3">
        <v>15.142857142857142</v>
      </c>
      <c r="M3">
        <v>35</v>
      </c>
      <c r="N3">
        <v>45.571428571428569</v>
      </c>
      <c r="O3">
        <v>73.571428571428569</v>
      </c>
      <c r="P3">
        <v>31.571428571428573</v>
      </c>
      <c r="Q3">
        <v>31.142857142857142</v>
      </c>
      <c r="R3">
        <v>10.857142857142858</v>
      </c>
      <c r="S3">
        <v>170.71428571428572</v>
      </c>
      <c r="T3">
        <v>85.428571428571431</v>
      </c>
      <c r="U3">
        <v>50.041841004184093</v>
      </c>
      <c r="V3">
        <v>6.5714285714285712</v>
      </c>
      <c r="W3">
        <v>0.8571428571428571</v>
      </c>
      <c r="X3">
        <v>13.043478260869565</v>
      </c>
      <c r="Y3">
        <v>26.428571428571427</v>
      </c>
      <c r="Z3">
        <v>7.5714285714285712</v>
      </c>
      <c r="AA3">
        <v>28.648648648648649</v>
      </c>
      <c r="AB3">
        <v>0.42857142857142855</v>
      </c>
      <c r="AC3">
        <v>0</v>
      </c>
      <c r="AD3">
        <v>0</v>
      </c>
      <c r="AE3">
        <v>24.714285714285715</v>
      </c>
      <c r="AF3">
        <v>3.1428571428571428</v>
      </c>
      <c r="AG3">
        <v>12.716763005780345</v>
      </c>
      <c r="AH3">
        <v>4.4285714285714288</v>
      </c>
      <c r="AI3">
        <v>1.1428571428571428</v>
      </c>
      <c r="AJ3">
        <v>25.806451612903224</v>
      </c>
      <c r="AK3">
        <v>2.8571428571428572</v>
      </c>
      <c r="AL3">
        <v>0.42857142857142855</v>
      </c>
      <c r="AM3">
        <v>15</v>
      </c>
      <c r="AN3">
        <v>0</v>
      </c>
      <c r="AO3">
        <v>0</v>
      </c>
      <c r="AP3">
        <v>0</v>
      </c>
      <c r="AQ3">
        <v>19.571428571428573</v>
      </c>
      <c r="AR3">
        <v>5.5714285714285712</v>
      </c>
      <c r="AS3">
        <v>28.467153284671532</v>
      </c>
      <c r="AT3">
        <v>5.1428571428571432</v>
      </c>
      <c r="AU3">
        <v>3.1428571428571428</v>
      </c>
      <c r="AV3">
        <v>20.857142857142858</v>
      </c>
      <c r="AW3">
        <v>2</v>
      </c>
      <c r="AX3">
        <v>11.571428571428571</v>
      </c>
      <c r="AY3">
        <v>11.428571428571429</v>
      </c>
      <c r="AZ3">
        <v>63.285714285714285</v>
      </c>
      <c r="BA3">
        <v>23</v>
      </c>
      <c r="BB3">
        <v>36.343115124153499</v>
      </c>
      <c r="BC3">
        <v>1.4285714285714286</v>
      </c>
      <c r="BD3">
        <v>61.428571428571431</v>
      </c>
      <c r="BE3">
        <v>41.142857142857146</v>
      </c>
      <c r="BF3">
        <v>66.976744186046517</v>
      </c>
      <c r="BG3">
        <v>26.142857142857142</v>
      </c>
      <c r="BH3">
        <v>12.571428571428571</v>
      </c>
      <c r="BI3">
        <v>48.087431693989068</v>
      </c>
      <c r="BJ3">
        <v>2.2857142857142856</v>
      </c>
      <c r="BK3">
        <v>1.1428571428571428</v>
      </c>
      <c r="BL3">
        <v>50</v>
      </c>
      <c r="BM3">
        <v>30.285714285714285</v>
      </c>
      <c r="BN3">
        <v>8</v>
      </c>
      <c r="BO3">
        <v>11.714285714285714</v>
      </c>
      <c r="BP3">
        <v>2.4285714285714284</v>
      </c>
      <c r="BQ3">
        <v>0.2857142857142857</v>
      </c>
      <c r="BR3">
        <v>134.71428571428572</v>
      </c>
      <c r="BS3">
        <v>100.14285714285714</v>
      </c>
      <c r="BT3">
        <v>74.337221633085889</v>
      </c>
      <c r="BU3">
        <v>58.285714285714285</v>
      </c>
      <c r="BV3">
        <v>53.142857142857146</v>
      </c>
      <c r="BW3">
        <v>91.17647058823529</v>
      </c>
      <c r="BX3">
        <v>150.85714285714286</v>
      </c>
      <c r="BY3">
        <v>131.57142857142858</v>
      </c>
      <c r="BZ3">
        <v>87.215909090909093</v>
      </c>
      <c r="CA3">
        <v>41</v>
      </c>
      <c r="CB3">
        <v>22.857142857142858</v>
      </c>
      <c r="CC3">
        <v>55.749128919860624</v>
      </c>
      <c r="CD3">
        <v>52.428571428571431</v>
      </c>
      <c r="CE3">
        <v>36</v>
      </c>
      <c r="CF3">
        <v>68.664850136239792</v>
      </c>
      <c r="CG3">
        <v>64.714285714285708</v>
      </c>
      <c r="CH3">
        <v>45.857142857142854</v>
      </c>
      <c r="CI3">
        <v>70.860927152317871</v>
      </c>
      <c r="CJ3">
        <v>0.7142857142857143</v>
      </c>
      <c r="CK3">
        <v>0.14285714285714285</v>
      </c>
      <c r="CL3">
        <v>20</v>
      </c>
      <c r="CM3">
        <v>17.857142857142858</v>
      </c>
      <c r="CN3">
        <v>15</v>
      </c>
      <c r="CO3">
        <v>84</v>
      </c>
      <c r="CP3">
        <v>6.7142857142857144</v>
      </c>
      <c r="CQ3">
        <v>16.62142857142857</v>
      </c>
      <c r="CR3">
        <v>4.1257142857142863</v>
      </c>
      <c r="CS3">
        <v>10.44</v>
      </c>
      <c r="CT3">
        <v>22.26</v>
      </c>
      <c r="CU3">
        <v>19.921428571428571</v>
      </c>
      <c r="CV3">
        <v>12.275714285714287</v>
      </c>
      <c r="CW3">
        <v>2</v>
      </c>
      <c r="CX3">
        <v>1.1657142857142857</v>
      </c>
      <c r="CY3">
        <v>9.7142857142857135</v>
      </c>
      <c r="CZ3">
        <v>4.5714285714285712</v>
      </c>
      <c r="DA3">
        <v>47.058823529411761</v>
      </c>
      <c r="DB3">
        <v>422.28571428571428</v>
      </c>
      <c r="DC3">
        <v>360.85714285714283</v>
      </c>
      <c r="DD3">
        <v>85.453315290933702</v>
      </c>
      <c r="DE3">
        <v>50.464285714285722</v>
      </c>
      <c r="DF3">
        <v>96.714285714285708</v>
      </c>
      <c r="DG3">
        <v>20.285714285714285</v>
      </c>
      <c r="DH3">
        <v>34.714285714285715</v>
      </c>
      <c r="DI3">
        <v>41.714285714285715</v>
      </c>
      <c r="DJ3">
        <v>69.714285714285708</v>
      </c>
      <c r="DK3">
        <v>33.428571428571431</v>
      </c>
      <c r="DL3">
        <v>26.428571428571427</v>
      </c>
      <c r="DM3">
        <v>9.8571428571428577</v>
      </c>
      <c r="DN3">
        <v>170.71428571428572</v>
      </c>
      <c r="DO3">
        <v>79.714285714285708</v>
      </c>
      <c r="DP3">
        <v>46.694560669456067</v>
      </c>
      <c r="DQ3">
        <v>5.2857142857142856</v>
      </c>
      <c r="DR3">
        <v>1.5714285714285714</v>
      </c>
      <c r="DS3">
        <v>29.72972972972973</v>
      </c>
      <c r="DT3">
        <v>24.714285714285715</v>
      </c>
      <c r="DU3">
        <v>6.4285714285714288</v>
      </c>
      <c r="DV3">
        <v>26.011560693641616</v>
      </c>
      <c r="DW3">
        <v>1</v>
      </c>
      <c r="DX3">
        <v>0.2857142857142857</v>
      </c>
      <c r="DY3">
        <v>28.571428571428569</v>
      </c>
      <c r="DZ3">
        <v>23.571428571428573</v>
      </c>
      <c r="EA3">
        <v>2.2857142857142856</v>
      </c>
      <c r="EB3">
        <v>9.6969696969696972</v>
      </c>
      <c r="EC3">
        <v>2.5714285714285716</v>
      </c>
      <c r="ED3">
        <v>0.8571428571428571</v>
      </c>
      <c r="EE3">
        <v>33.333333333333329</v>
      </c>
      <c r="EF3">
        <v>1.5714285714285714</v>
      </c>
      <c r="EG3">
        <v>0.14285714285714285</v>
      </c>
      <c r="EH3">
        <v>9.0909090909090917</v>
      </c>
      <c r="EI3">
        <v>0.2857142857142857</v>
      </c>
      <c r="EJ3">
        <v>0.2857142857142857</v>
      </c>
      <c r="EK3">
        <v>100</v>
      </c>
      <c r="EL3">
        <v>8.8571428571428577</v>
      </c>
      <c r="EM3">
        <v>3.5714285714285716</v>
      </c>
      <c r="EN3">
        <v>40.322580645161288</v>
      </c>
      <c r="EO3">
        <v>3.4285714285714284</v>
      </c>
      <c r="EP3">
        <v>5.7142857142857144</v>
      </c>
      <c r="EQ3">
        <v>16.428571428571427</v>
      </c>
      <c r="ER3">
        <v>2.1428571428571428</v>
      </c>
      <c r="ES3">
        <v>5.1428571428571432</v>
      </c>
      <c r="ET3">
        <v>10.571428571428571</v>
      </c>
      <c r="EU3">
        <v>61.428571428571431</v>
      </c>
      <c r="EV3">
        <v>20.285714285714285</v>
      </c>
      <c r="EW3">
        <v>33.02325581395349</v>
      </c>
      <c r="EX3">
        <v>1.7142857142857142</v>
      </c>
      <c r="EY3">
        <v>63.285714285714285</v>
      </c>
      <c r="EZ3">
        <v>40.285714285714285</v>
      </c>
      <c r="FA3">
        <v>63.656884875846501</v>
      </c>
      <c r="FB3">
        <v>26.142857142857142</v>
      </c>
      <c r="FC3">
        <v>10.714285714285714</v>
      </c>
      <c r="FD3">
        <v>40.983606557377051</v>
      </c>
      <c r="FE3">
        <v>2</v>
      </c>
      <c r="FF3">
        <v>1.1428571428571428</v>
      </c>
      <c r="FG3">
        <v>57.142857142857139</v>
      </c>
      <c r="FH3">
        <v>39.857142857142854</v>
      </c>
      <c r="FI3">
        <v>15.428571428571429</v>
      </c>
      <c r="FJ3">
        <v>13</v>
      </c>
      <c r="FK3">
        <v>3</v>
      </c>
      <c r="FL3">
        <v>0</v>
      </c>
      <c r="FM3">
        <v>140</v>
      </c>
      <c r="FN3">
        <v>106.57142857142857</v>
      </c>
      <c r="FO3">
        <v>76.122448979591837</v>
      </c>
      <c r="FP3">
        <v>67</v>
      </c>
      <c r="FQ3">
        <v>63.142857142857146</v>
      </c>
      <c r="FR3">
        <v>94.243070362473347</v>
      </c>
      <c r="FS3">
        <v>144</v>
      </c>
      <c r="FT3">
        <v>128.57142857142858</v>
      </c>
      <c r="FU3">
        <v>89.285714285714292</v>
      </c>
      <c r="FV3">
        <v>40</v>
      </c>
      <c r="FW3">
        <v>23.285714285714285</v>
      </c>
      <c r="FX3">
        <v>58.214285714285715</v>
      </c>
      <c r="FY3">
        <v>52.285714285714285</v>
      </c>
      <c r="FZ3">
        <v>39.285714285714285</v>
      </c>
      <c r="GA3">
        <v>75.136612021857914</v>
      </c>
      <c r="GB3">
        <v>66</v>
      </c>
      <c r="GC3">
        <v>46.857142857142854</v>
      </c>
      <c r="GD3">
        <v>70.995670995671006</v>
      </c>
      <c r="GE3">
        <v>1.4285714285714286</v>
      </c>
      <c r="GF3">
        <v>0.5714285714285714</v>
      </c>
      <c r="GG3">
        <v>40</v>
      </c>
      <c r="GH3">
        <v>14.571428571428571</v>
      </c>
      <c r="GI3">
        <v>13</v>
      </c>
      <c r="GJ3">
        <v>89.215686274509807</v>
      </c>
      <c r="GK3">
        <v>9.8571428571428577</v>
      </c>
      <c r="GL3">
        <v>16.80142857142857</v>
      </c>
      <c r="GM3">
        <v>4.6557142857142848</v>
      </c>
      <c r="GN3">
        <v>10.615714285714287</v>
      </c>
      <c r="GO3">
        <v>20.632857142857144</v>
      </c>
      <c r="GP3">
        <v>18.228571428571428</v>
      </c>
      <c r="GQ3">
        <v>12.475714285714286</v>
      </c>
      <c r="GR3">
        <f t="shared" ref="GR3:GR21" si="25">C3- (AN3*0.76)</f>
        <v>0.75</v>
      </c>
      <c r="GS3">
        <f t="shared" ref="GS3:GS21" si="26">CX3-(EI3*0.76)</f>
        <v>0.94857142857142862</v>
      </c>
      <c r="GT3">
        <f t="shared" ref="GT3:GT21" si="27">B3-C3</f>
        <v>-0.32142857142857145</v>
      </c>
      <c r="GU3">
        <f t="shared" ref="GU3:GU21" si="28">CW3-CX3</f>
        <v>0.8342857142857143</v>
      </c>
      <c r="GV3">
        <f t="shared" ref="GV3:GV21" si="29">D3-V3</f>
        <v>4.7142857142857153</v>
      </c>
      <c r="GW3">
        <f t="shared" ref="GW3:GW21" si="30">CY3-DQ3</f>
        <v>4.4285714285714279</v>
      </c>
      <c r="GX3" s="2">
        <f t="shared" ref="GX3:GX21" si="31">P3/O3</f>
        <v>0.42912621359223302</v>
      </c>
      <c r="GY3" s="2">
        <f t="shared" ref="GY3:GY21" si="32">Q3/O3</f>
        <v>0.42330097087378643</v>
      </c>
      <c r="GZ3" s="2">
        <f t="shared" ref="GZ3:GZ21" si="33">R3/O3</f>
        <v>0.14757281553398061</v>
      </c>
      <c r="HA3">
        <f t="shared" ref="HA3:HA21" si="34">C3/D3</f>
        <v>6.6455696202531639E-2</v>
      </c>
      <c r="HB3">
        <f t="shared" ref="HB3:HB21" si="35">CX3/CY3</f>
        <v>0.12000000000000001</v>
      </c>
    </row>
    <row r="4" spans="1:210" x14ac:dyDescent="0.2">
      <c r="A4" t="s">
        <v>95</v>
      </c>
      <c r="B4">
        <v>1.5714285714285714</v>
      </c>
      <c r="C4">
        <v>1.172857142857143</v>
      </c>
      <c r="D4">
        <v>13</v>
      </c>
      <c r="E4">
        <v>4.7142857142857144</v>
      </c>
      <c r="F4">
        <v>36.263736263736263</v>
      </c>
      <c r="G4">
        <v>443.28571428571428</v>
      </c>
      <c r="H4">
        <v>382.85714285714283</v>
      </c>
      <c r="I4">
        <v>86.368030937802132</v>
      </c>
      <c r="J4">
        <v>55.661428571428566</v>
      </c>
      <c r="K4">
        <v>92</v>
      </c>
      <c r="L4">
        <v>17.142857142857142</v>
      </c>
      <c r="M4">
        <v>33.714285714285715</v>
      </c>
      <c r="N4">
        <v>41.142857142857146</v>
      </c>
      <c r="O4">
        <v>71</v>
      </c>
      <c r="P4">
        <v>32.714285714285715</v>
      </c>
      <c r="Q4">
        <v>26.857142857142858</v>
      </c>
      <c r="R4">
        <v>11.428571428571429</v>
      </c>
      <c r="S4">
        <v>162.85714285714286</v>
      </c>
      <c r="T4">
        <v>74.428571428571431</v>
      </c>
      <c r="U4">
        <v>45.701754385964911</v>
      </c>
      <c r="V4">
        <v>8</v>
      </c>
      <c r="W4">
        <v>2.5714285714285716</v>
      </c>
      <c r="X4">
        <v>32.142857142857146</v>
      </c>
      <c r="Y4">
        <v>26.857142857142858</v>
      </c>
      <c r="Z4">
        <v>7.5714285714285712</v>
      </c>
      <c r="AA4">
        <v>28.191489361702125</v>
      </c>
      <c r="AB4">
        <v>0.5714285714285714</v>
      </c>
      <c r="AC4">
        <v>0.2857142857142857</v>
      </c>
      <c r="AD4">
        <v>50</v>
      </c>
      <c r="AE4">
        <v>23.857142857142858</v>
      </c>
      <c r="AF4">
        <v>4</v>
      </c>
      <c r="AG4">
        <v>16.766467065868262</v>
      </c>
      <c r="AH4">
        <v>2.5714285714285716</v>
      </c>
      <c r="AI4">
        <v>0.7142857142857143</v>
      </c>
      <c r="AJ4">
        <v>27.777777777777779</v>
      </c>
      <c r="AK4">
        <v>3</v>
      </c>
      <c r="AL4">
        <v>1.2857142857142858</v>
      </c>
      <c r="AM4">
        <v>42.857142857142854</v>
      </c>
      <c r="AN4">
        <v>0.2857142857142857</v>
      </c>
      <c r="AO4">
        <v>0.2857142857142857</v>
      </c>
      <c r="AP4">
        <v>100</v>
      </c>
      <c r="AQ4">
        <v>9.7142857142857135</v>
      </c>
      <c r="AR4">
        <v>3.1428571428571428</v>
      </c>
      <c r="AS4">
        <v>32.352941176470587</v>
      </c>
      <c r="AT4">
        <v>3.2857142857142856</v>
      </c>
      <c r="AU4">
        <v>6.1428571428571432</v>
      </c>
      <c r="AV4">
        <v>20.142857142857142</v>
      </c>
      <c r="AW4">
        <v>2.8571428571428572</v>
      </c>
      <c r="AX4">
        <v>7</v>
      </c>
      <c r="AY4">
        <v>13.285714285714286</v>
      </c>
      <c r="AZ4">
        <v>55.571428571428569</v>
      </c>
      <c r="BA4">
        <v>22.285714285714285</v>
      </c>
      <c r="BB4">
        <v>40.102827763496144</v>
      </c>
      <c r="BC4">
        <v>3</v>
      </c>
      <c r="BD4">
        <v>62.857142857142854</v>
      </c>
      <c r="BE4">
        <v>35.428571428571431</v>
      </c>
      <c r="BF4">
        <v>56.36363636363636</v>
      </c>
      <c r="BG4">
        <v>23.571428571428573</v>
      </c>
      <c r="BH4">
        <v>9.1428571428571423</v>
      </c>
      <c r="BI4">
        <v>38.787878787878789</v>
      </c>
      <c r="BJ4">
        <v>2.7142857142857144</v>
      </c>
      <c r="BK4">
        <v>1.1428571428571428</v>
      </c>
      <c r="BL4">
        <v>42.105263157894733</v>
      </c>
      <c r="BM4">
        <v>34</v>
      </c>
      <c r="BN4">
        <v>14.285714285714286</v>
      </c>
      <c r="BO4">
        <v>15.428571428571429</v>
      </c>
      <c r="BP4">
        <v>3.4285714285714284</v>
      </c>
      <c r="BQ4">
        <v>0.42857142857142855</v>
      </c>
      <c r="BR4">
        <v>150.57142857142858</v>
      </c>
      <c r="BS4">
        <v>117.42857142857143</v>
      </c>
      <c r="BT4">
        <v>77.988614800759009</v>
      </c>
      <c r="BU4">
        <v>67.428571428571431</v>
      </c>
      <c r="BV4">
        <v>64.285714285714292</v>
      </c>
      <c r="BW4">
        <v>95.33898305084746</v>
      </c>
      <c r="BX4">
        <v>146.42857142857142</v>
      </c>
      <c r="BY4">
        <v>131.85714285714286</v>
      </c>
      <c r="BZ4">
        <v>90.048780487804876</v>
      </c>
      <c r="CA4">
        <v>37.142857142857146</v>
      </c>
      <c r="CB4">
        <v>22.285714285714285</v>
      </c>
      <c r="CC4">
        <v>60</v>
      </c>
      <c r="CD4">
        <v>50.285714285714285</v>
      </c>
      <c r="CE4">
        <v>39</v>
      </c>
      <c r="CF4">
        <v>77.556818181818173</v>
      </c>
      <c r="CG4">
        <v>71.571428571428569</v>
      </c>
      <c r="CH4">
        <v>52.571428571428569</v>
      </c>
      <c r="CI4">
        <v>73.453093812375243</v>
      </c>
      <c r="CJ4">
        <v>2.2857142857142856</v>
      </c>
      <c r="CK4">
        <v>1.4285714285714286</v>
      </c>
      <c r="CL4">
        <v>62.5</v>
      </c>
      <c r="CM4">
        <v>15.714285714285714</v>
      </c>
      <c r="CN4">
        <v>14.142857142857142</v>
      </c>
      <c r="CO4">
        <v>90</v>
      </c>
      <c r="CP4">
        <v>7.7142857142857144</v>
      </c>
      <c r="CQ4">
        <v>17.059999999999999</v>
      </c>
      <c r="CR4">
        <v>4.7842857142857138</v>
      </c>
      <c r="CS4">
        <v>8.7857142857142865</v>
      </c>
      <c r="CT4">
        <v>21.315714285714286</v>
      </c>
      <c r="CU4">
        <v>17.624285714285712</v>
      </c>
      <c r="CV4">
        <v>9.9271428571428562</v>
      </c>
      <c r="CW4">
        <v>0.7142857142857143</v>
      </c>
      <c r="CX4">
        <v>1.1857142857142857</v>
      </c>
      <c r="CY4">
        <v>10.285714285714286</v>
      </c>
      <c r="CZ4">
        <v>3.8571428571428572</v>
      </c>
      <c r="DA4">
        <v>37.5</v>
      </c>
      <c r="DB4">
        <v>328.28571428571428</v>
      </c>
      <c r="DC4">
        <v>266.42857142857144</v>
      </c>
      <c r="DD4">
        <v>81.157528285465617</v>
      </c>
      <c r="DE4">
        <v>44.338571428571427</v>
      </c>
      <c r="DF4">
        <v>94</v>
      </c>
      <c r="DG4">
        <v>18.857142857142858</v>
      </c>
      <c r="DH4">
        <v>33.857142857142854</v>
      </c>
      <c r="DI4">
        <v>41.285714285714285</v>
      </c>
      <c r="DJ4">
        <v>65.142857142857139</v>
      </c>
      <c r="DK4">
        <v>27</v>
      </c>
      <c r="DL4">
        <v>27.142857142857142</v>
      </c>
      <c r="DM4">
        <v>11</v>
      </c>
      <c r="DN4">
        <v>162.85714285714286</v>
      </c>
      <c r="DO4">
        <v>81.571428571428569</v>
      </c>
      <c r="DP4">
        <v>50.087719298245617</v>
      </c>
      <c r="DQ4">
        <v>5.2857142857142856</v>
      </c>
      <c r="DR4">
        <v>2</v>
      </c>
      <c r="DS4">
        <v>37.837837837837839</v>
      </c>
      <c r="DT4">
        <v>23.714285714285715</v>
      </c>
      <c r="DU4">
        <v>6.5714285714285712</v>
      </c>
      <c r="DV4">
        <v>27.710843373493976</v>
      </c>
      <c r="DW4">
        <v>0.8571428571428571</v>
      </c>
      <c r="DX4">
        <v>0.42857142857142855</v>
      </c>
      <c r="DY4">
        <v>50</v>
      </c>
      <c r="DZ4">
        <v>28.857142857142858</v>
      </c>
      <c r="EA4">
        <v>2.4285714285714284</v>
      </c>
      <c r="EB4">
        <v>8.4158415841584162</v>
      </c>
      <c r="EC4">
        <v>3.1428571428571428</v>
      </c>
      <c r="ED4">
        <v>1</v>
      </c>
      <c r="EE4">
        <v>31.818181818181817</v>
      </c>
      <c r="EF4">
        <v>2.8571428571428572</v>
      </c>
      <c r="EG4">
        <v>0.42857142857142855</v>
      </c>
      <c r="EH4">
        <v>15</v>
      </c>
      <c r="EI4">
        <v>0.2857142857142857</v>
      </c>
      <c r="EJ4">
        <v>0.2857142857142857</v>
      </c>
      <c r="EK4">
        <v>100</v>
      </c>
      <c r="EL4">
        <v>11</v>
      </c>
      <c r="EM4">
        <v>2.8571428571428572</v>
      </c>
      <c r="EN4">
        <v>25.97402597402597</v>
      </c>
      <c r="EO4">
        <v>3</v>
      </c>
      <c r="EP4">
        <v>3.5714285714285716</v>
      </c>
      <c r="EQ4">
        <v>17.142857142857142</v>
      </c>
      <c r="ER4">
        <v>2.4285714285714284</v>
      </c>
      <c r="ES4">
        <v>8.1428571428571423</v>
      </c>
      <c r="ET4">
        <v>12.571428571428571</v>
      </c>
      <c r="EU4">
        <v>62.857142857142854</v>
      </c>
      <c r="EV4">
        <v>27.428571428571427</v>
      </c>
      <c r="EW4">
        <v>43.636363636363633</v>
      </c>
      <c r="EX4">
        <v>2.4285714285714284</v>
      </c>
      <c r="EY4">
        <v>55.571428571428569</v>
      </c>
      <c r="EZ4">
        <v>33.285714285714285</v>
      </c>
      <c r="FA4">
        <v>59.897172236503863</v>
      </c>
      <c r="FB4">
        <v>23.571428571428573</v>
      </c>
      <c r="FC4">
        <v>11.428571428571429</v>
      </c>
      <c r="FD4">
        <v>48.484848484848484</v>
      </c>
      <c r="FE4">
        <v>2.4285714285714284</v>
      </c>
      <c r="FF4">
        <v>1.5714285714285714</v>
      </c>
      <c r="FG4">
        <v>64.705882352941174</v>
      </c>
      <c r="FH4">
        <v>35</v>
      </c>
      <c r="FI4">
        <v>12.857142857142858</v>
      </c>
      <c r="FJ4">
        <v>12.714285714285714</v>
      </c>
      <c r="FK4">
        <v>3.8571428571428572</v>
      </c>
      <c r="FL4">
        <v>0.14285714285714285</v>
      </c>
      <c r="FM4">
        <v>113</v>
      </c>
      <c r="FN4">
        <v>81.857142857142861</v>
      </c>
      <c r="FO4">
        <v>72.439949431099876</v>
      </c>
      <c r="FP4">
        <v>47.571428571428569</v>
      </c>
      <c r="FQ4">
        <v>43.857142857142854</v>
      </c>
      <c r="FR4">
        <v>92.192192192192195</v>
      </c>
      <c r="FS4">
        <v>108</v>
      </c>
      <c r="FT4">
        <v>92.142857142857139</v>
      </c>
      <c r="FU4">
        <v>85.317460317460316</v>
      </c>
      <c r="FV4">
        <v>39.428571428571431</v>
      </c>
      <c r="FW4">
        <v>21</v>
      </c>
      <c r="FX4">
        <v>53.260869565217398</v>
      </c>
      <c r="FY4">
        <v>38.142857142857146</v>
      </c>
      <c r="FZ4">
        <v>24.428571428571427</v>
      </c>
      <c r="GA4">
        <v>64.044943820224717</v>
      </c>
      <c r="GB4">
        <v>54.142857142857146</v>
      </c>
      <c r="GC4">
        <v>34.857142857142854</v>
      </c>
      <c r="GD4">
        <v>64.379947229551448</v>
      </c>
      <c r="GE4">
        <v>0.5714285714285714</v>
      </c>
      <c r="GF4">
        <v>0</v>
      </c>
      <c r="GG4">
        <v>0</v>
      </c>
      <c r="GH4">
        <v>17.714285714285715</v>
      </c>
      <c r="GI4">
        <v>15.857142857142858</v>
      </c>
      <c r="GJ4">
        <v>89.516129032258064</v>
      </c>
      <c r="GK4">
        <v>8.7142857142857135</v>
      </c>
      <c r="GL4">
        <v>15.904285714285715</v>
      </c>
      <c r="GM4">
        <v>3.3871428571428575</v>
      </c>
      <c r="GN4">
        <v>12.254285714285716</v>
      </c>
      <c r="GO4">
        <v>21.367142857142856</v>
      </c>
      <c r="GP4">
        <v>19.091428571428569</v>
      </c>
      <c r="GQ4">
        <v>14.492857142857142</v>
      </c>
      <c r="GR4">
        <f t="shared" si="25"/>
        <v>0.95571428571428596</v>
      </c>
      <c r="GS4">
        <f t="shared" si="26"/>
        <v>0.96857142857142864</v>
      </c>
      <c r="GT4">
        <f t="shared" si="27"/>
        <v>0.39857142857142835</v>
      </c>
      <c r="GU4">
        <f t="shared" si="28"/>
        <v>-0.47142857142857142</v>
      </c>
      <c r="GV4">
        <f t="shared" si="29"/>
        <v>5</v>
      </c>
      <c r="GW4">
        <f t="shared" si="30"/>
        <v>5.0000000000000009</v>
      </c>
      <c r="GX4" s="2">
        <f t="shared" si="31"/>
        <v>0.46076458752515093</v>
      </c>
      <c r="GY4" s="2">
        <f t="shared" si="32"/>
        <v>0.3782696177062374</v>
      </c>
      <c r="GZ4" s="2">
        <f t="shared" si="33"/>
        <v>0.16096579476861167</v>
      </c>
      <c r="HA4">
        <f t="shared" si="34"/>
        <v>9.0219780219780235E-2</v>
      </c>
      <c r="HB4">
        <f t="shared" si="35"/>
        <v>0.11527777777777777</v>
      </c>
    </row>
    <row r="5" spans="1:210" x14ac:dyDescent="0.2">
      <c r="A5" t="s">
        <v>96</v>
      </c>
      <c r="B5">
        <v>1.4285714285714286</v>
      </c>
      <c r="C5">
        <v>0.98428571428571421</v>
      </c>
      <c r="D5">
        <v>10.571428571428571</v>
      </c>
      <c r="E5">
        <v>3.5714285714285716</v>
      </c>
      <c r="F5">
        <v>33.783783783783782</v>
      </c>
      <c r="G5">
        <v>426.14285714285717</v>
      </c>
      <c r="H5">
        <v>352.42857142857144</v>
      </c>
      <c r="I5">
        <v>82.70197787462287</v>
      </c>
      <c r="J5">
        <v>52.730000000000004</v>
      </c>
      <c r="K5">
        <v>104</v>
      </c>
      <c r="L5">
        <v>15.142857142857142</v>
      </c>
      <c r="M5">
        <v>39.428571428571431</v>
      </c>
      <c r="N5">
        <v>49.428571428571431</v>
      </c>
      <c r="O5">
        <v>78.285714285714292</v>
      </c>
      <c r="P5">
        <v>30.857142857142858</v>
      </c>
      <c r="Q5">
        <v>35.714285714285715</v>
      </c>
      <c r="R5">
        <v>11.714285714285714</v>
      </c>
      <c r="S5">
        <v>188</v>
      </c>
      <c r="T5">
        <v>91.714285714285708</v>
      </c>
      <c r="U5">
        <v>48.784194528875382</v>
      </c>
      <c r="V5">
        <v>5</v>
      </c>
      <c r="W5">
        <v>1.1428571428571428</v>
      </c>
      <c r="X5">
        <v>22.857142857142858</v>
      </c>
      <c r="Y5">
        <v>28.714285714285715</v>
      </c>
      <c r="Z5">
        <v>7</v>
      </c>
      <c r="AA5">
        <v>24.378109452736318</v>
      </c>
      <c r="AB5">
        <v>1</v>
      </c>
      <c r="AC5">
        <v>0.42857142857142855</v>
      </c>
      <c r="AD5">
        <v>42.857142857142854</v>
      </c>
      <c r="AE5">
        <v>25.428571428571427</v>
      </c>
      <c r="AF5">
        <v>2.4285714285714284</v>
      </c>
      <c r="AG5">
        <v>9.5505617977528079</v>
      </c>
      <c r="AH5">
        <v>4.2857142857142856</v>
      </c>
      <c r="AI5">
        <v>1.1428571428571428</v>
      </c>
      <c r="AJ5">
        <v>26.666666666666668</v>
      </c>
      <c r="AK5">
        <v>3.4285714285714284</v>
      </c>
      <c r="AL5">
        <v>0.7142857142857143</v>
      </c>
      <c r="AM5">
        <v>20.833333333333336</v>
      </c>
      <c r="AN5">
        <v>0</v>
      </c>
      <c r="AO5">
        <v>0</v>
      </c>
      <c r="AP5">
        <v>0</v>
      </c>
      <c r="AQ5">
        <v>15.714285714285714</v>
      </c>
      <c r="AR5">
        <v>4.8571428571428568</v>
      </c>
      <c r="AS5">
        <v>30.909090909090907</v>
      </c>
      <c r="AT5">
        <v>5.1428571428571432</v>
      </c>
      <c r="AU5">
        <v>8.1428571428571423</v>
      </c>
      <c r="AV5">
        <v>23.428571428571427</v>
      </c>
      <c r="AW5">
        <v>3</v>
      </c>
      <c r="AX5">
        <v>8.7142857142857135</v>
      </c>
      <c r="AY5">
        <v>17.571428571428573</v>
      </c>
      <c r="AZ5">
        <v>66.857142857142861</v>
      </c>
      <c r="BA5">
        <v>23.142857142857142</v>
      </c>
      <c r="BB5">
        <v>34.615384615384613</v>
      </c>
      <c r="BC5">
        <v>2.5714285714285716</v>
      </c>
      <c r="BD5">
        <v>66.285714285714292</v>
      </c>
      <c r="BE5">
        <v>42.142857142857146</v>
      </c>
      <c r="BF5">
        <v>63.577586206896555</v>
      </c>
      <c r="BG5">
        <v>30.142857142857142</v>
      </c>
      <c r="BH5">
        <v>15</v>
      </c>
      <c r="BI5">
        <v>49.763033175355446</v>
      </c>
      <c r="BJ5">
        <v>3.7142857142857144</v>
      </c>
      <c r="BK5">
        <v>2.1428571428571428</v>
      </c>
      <c r="BL5">
        <v>57.692307692307686</v>
      </c>
      <c r="BM5">
        <v>32.857142857142854</v>
      </c>
      <c r="BN5">
        <v>9.5714285714285712</v>
      </c>
      <c r="BO5">
        <v>14.714285714285714</v>
      </c>
      <c r="BP5">
        <v>3.1428571428571428</v>
      </c>
      <c r="BQ5">
        <v>0.2857142857142857</v>
      </c>
      <c r="BR5">
        <v>149.57142857142858</v>
      </c>
      <c r="BS5">
        <v>112.28571428571429</v>
      </c>
      <c r="BT5">
        <v>75.071633237822354</v>
      </c>
      <c r="BU5">
        <v>65.857142857142861</v>
      </c>
      <c r="BV5">
        <v>59.285714285714285</v>
      </c>
      <c r="BW5">
        <v>90.021691973969638</v>
      </c>
      <c r="BX5">
        <v>136.42857142857142</v>
      </c>
      <c r="BY5">
        <v>119.71428571428571</v>
      </c>
      <c r="BZ5">
        <v>87.748691099476446</v>
      </c>
      <c r="CA5">
        <v>38.714285714285715</v>
      </c>
      <c r="CB5">
        <v>19.857142857142858</v>
      </c>
      <c r="CC5">
        <v>51.291512915129154</v>
      </c>
      <c r="CD5">
        <v>50.857142857142854</v>
      </c>
      <c r="CE5">
        <v>36.285714285714285</v>
      </c>
      <c r="CF5">
        <v>71.348314606741567</v>
      </c>
      <c r="CG5">
        <v>67.142857142857139</v>
      </c>
      <c r="CH5">
        <v>48.285714285714285</v>
      </c>
      <c r="CI5">
        <v>71.914893617021278</v>
      </c>
      <c r="CJ5">
        <v>0.8571428571428571</v>
      </c>
      <c r="CK5">
        <v>0.42857142857142855</v>
      </c>
      <c r="CL5">
        <v>50</v>
      </c>
      <c r="CM5">
        <v>18.285714285714285</v>
      </c>
      <c r="CN5">
        <v>16.285714285714285</v>
      </c>
      <c r="CO5">
        <v>89.0625</v>
      </c>
      <c r="CP5">
        <v>7.4285714285714288</v>
      </c>
      <c r="CQ5">
        <v>16.809999999999999</v>
      </c>
      <c r="CR5">
        <v>4.2428571428571429</v>
      </c>
      <c r="CS5">
        <v>9.387142857142857</v>
      </c>
      <c r="CT5">
        <v>18.532857142857143</v>
      </c>
      <c r="CU5">
        <v>18.261428571428571</v>
      </c>
      <c r="CV5">
        <v>8.41</v>
      </c>
      <c r="CW5">
        <v>0.5714285714285714</v>
      </c>
      <c r="CX5">
        <v>0.45</v>
      </c>
      <c r="CY5">
        <v>7.7142857142857144</v>
      </c>
      <c r="CZ5">
        <v>1.4285714285714286</v>
      </c>
      <c r="DA5">
        <v>18.518518518518519</v>
      </c>
      <c r="DB5">
        <v>366.57142857142856</v>
      </c>
      <c r="DC5">
        <v>302.57142857142856</v>
      </c>
      <c r="DD5">
        <v>82.54091971940764</v>
      </c>
      <c r="DE5">
        <v>47.269999999999996</v>
      </c>
      <c r="DF5">
        <v>102.14285714285714</v>
      </c>
      <c r="DG5">
        <v>18.714285714285715</v>
      </c>
      <c r="DH5">
        <v>43.714285714285715</v>
      </c>
      <c r="DI5">
        <v>39.714285714285715</v>
      </c>
      <c r="DJ5">
        <v>73</v>
      </c>
      <c r="DK5">
        <v>33.571428571428569</v>
      </c>
      <c r="DL5">
        <v>31</v>
      </c>
      <c r="DM5">
        <v>8.4285714285714288</v>
      </c>
      <c r="DN5">
        <v>188</v>
      </c>
      <c r="DO5">
        <v>89</v>
      </c>
      <c r="DP5">
        <v>47.340425531914896</v>
      </c>
      <c r="DQ5">
        <v>5.2857142857142856</v>
      </c>
      <c r="DR5">
        <v>0.5714285714285714</v>
      </c>
      <c r="DS5">
        <v>10.810810810810811</v>
      </c>
      <c r="DT5">
        <v>21.285714285714285</v>
      </c>
      <c r="DU5">
        <v>5</v>
      </c>
      <c r="DV5">
        <v>23.48993288590604</v>
      </c>
      <c r="DW5">
        <v>0.5714285714285714</v>
      </c>
      <c r="DX5">
        <v>0.14285714285714285</v>
      </c>
      <c r="DY5">
        <v>25</v>
      </c>
      <c r="DZ5">
        <v>25.714285714285715</v>
      </c>
      <c r="EA5">
        <v>2.2857142857142856</v>
      </c>
      <c r="EB5">
        <v>8.8888888888888893</v>
      </c>
      <c r="EC5">
        <v>2.1428571428571428</v>
      </c>
      <c r="ED5">
        <v>0.14285714285714285</v>
      </c>
      <c r="EE5">
        <v>6.666666666666667</v>
      </c>
      <c r="EF5">
        <v>2.1428571428571428</v>
      </c>
      <c r="EG5">
        <v>0.5714285714285714</v>
      </c>
      <c r="EH5">
        <v>26.666666666666668</v>
      </c>
      <c r="EI5">
        <v>0</v>
      </c>
      <c r="EJ5">
        <v>0</v>
      </c>
      <c r="EK5">
        <v>0</v>
      </c>
      <c r="EL5">
        <v>9.8571428571428577</v>
      </c>
      <c r="EM5">
        <v>3</v>
      </c>
      <c r="EN5">
        <v>30.434782608695656</v>
      </c>
      <c r="EO5">
        <v>3</v>
      </c>
      <c r="EP5">
        <v>3.1428571428571428</v>
      </c>
      <c r="EQ5">
        <v>12.571428571428571</v>
      </c>
      <c r="ER5">
        <v>2.1428571428571428</v>
      </c>
      <c r="ES5">
        <v>5.4285714285714288</v>
      </c>
      <c r="ET5">
        <v>7.7142857142857144</v>
      </c>
      <c r="EU5">
        <v>66.285714285714292</v>
      </c>
      <c r="EV5">
        <v>24.142857142857142</v>
      </c>
      <c r="EW5">
        <v>36.422413793103445</v>
      </c>
      <c r="EX5">
        <v>0.8571428571428571</v>
      </c>
      <c r="EY5">
        <v>66.857142857142861</v>
      </c>
      <c r="EZ5">
        <v>43.714285714285715</v>
      </c>
      <c r="FA5">
        <v>65.384615384615387</v>
      </c>
      <c r="FB5">
        <v>30.142857142857142</v>
      </c>
      <c r="FC5">
        <v>11.571428571428571</v>
      </c>
      <c r="FD5">
        <v>38.388625592417064</v>
      </c>
      <c r="FE5">
        <v>4</v>
      </c>
      <c r="FF5">
        <v>2.7142857142857144</v>
      </c>
      <c r="FG5">
        <v>67.857142857142861</v>
      </c>
      <c r="FH5">
        <v>38.714285714285715</v>
      </c>
      <c r="FI5">
        <v>13.285714285714286</v>
      </c>
      <c r="FJ5">
        <v>12.857142857142858</v>
      </c>
      <c r="FK5">
        <v>3.5714285714285716</v>
      </c>
      <c r="FL5">
        <v>0.14285714285714285</v>
      </c>
      <c r="FM5">
        <v>131.85714285714286</v>
      </c>
      <c r="FN5">
        <v>97.285714285714292</v>
      </c>
      <c r="FO5">
        <v>73.781148429035753</v>
      </c>
      <c r="FP5">
        <v>56.857142857142854</v>
      </c>
      <c r="FQ5">
        <v>53.857142857142854</v>
      </c>
      <c r="FR5">
        <v>94.723618090452263</v>
      </c>
      <c r="FS5">
        <v>111.85714285714286</v>
      </c>
      <c r="FT5">
        <v>98.714285714285708</v>
      </c>
      <c r="FU5">
        <v>88.250319284802046</v>
      </c>
      <c r="FV5">
        <v>43.714285714285715</v>
      </c>
      <c r="FW5">
        <v>24.428571428571427</v>
      </c>
      <c r="FX5">
        <v>55.882352941176471</v>
      </c>
      <c r="FY5">
        <v>41.285714285714285</v>
      </c>
      <c r="FZ5">
        <v>27.285714285714285</v>
      </c>
      <c r="GA5">
        <v>66.089965397923876</v>
      </c>
      <c r="GB5">
        <v>63.142857142857146</v>
      </c>
      <c r="GC5">
        <v>40.857142857142854</v>
      </c>
      <c r="GD5">
        <v>64.705882352941174</v>
      </c>
      <c r="GE5">
        <v>0.42857142857142855</v>
      </c>
      <c r="GF5">
        <v>0.14285714285714285</v>
      </c>
      <c r="GG5">
        <v>33.333333333333329</v>
      </c>
      <c r="GH5">
        <v>16.285714285714285</v>
      </c>
      <c r="GI5">
        <v>14.428571428571429</v>
      </c>
      <c r="GJ5">
        <v>88.596491228070178</v>
      </c>
      <c r="GK5">
        <v>8.8571428571428577</v>
      </c>
      <c r="GL5">
        <v>16.295714285714286</v>
      </c>
      <c r="GM5">
        <v>3.7728571428571427</v>
      </c>
      <c r="GN5">
        <v>12.137142857142859</v>
      </c>
      <c r="GO5">
        <v>22.018571428571427</v>
      </c>
      <c r="GP5">
        <v>18.741428571428571</v>
      </c>
      <c r="GQ5">
        <v>10.631428571428572</v>
      </c>
      <c r="GR5">
        <f t="shared" si="25"/>
        <v>0.98428571428571421</v>
      </c>
      <c r="GS5">
        <f t="shared" si="26"/>
        <v>0.45</v>
      </c>
      <c r="GT5">
        <f t="shared" si="27"/>
        <v>0.44428571428571439</v>
      </c>
      <c r="GU5">
        <f t="shared" si="28"/>
        <v>0.12142857142857139</v>
      </c>
      <c r="GV5">
        <f t="shared" si="29"/>
        <v>5.5714285714285712</v>
      </c>
      <c r="GW5">
        <f t="shared" si="30"/>
        <v>2.4285714285714288</v>
      </c>
      <c r="GX5" s="2">
        <f t="shared" si="31"/>
        <v>0.3941605839416058</v>
      </c>
      <c r="GY5" s="2">
        <f t="shared" si="32"/>
        <v>0.45620437956204379</v>
      </c>
      <c r="GZ5" s="2">
        <f t="shared" si="33"/>
        <v>0.14963503649635035</v>
      </c>
      <c r="HA5">
        <f t="shared" si="34"/>
        <v>9.3108108108108101E-2</v>
      </c>
      <c r="HB5">
        <f t="shared" si="35"/>
        <v>5.8333333333333334E-2</v>
      </c>
    </row>
    <row r="6" spans="1:210" x14ac:dyDescent="0.2">
      <c r="A6" t="s">
        <v>97</v>
      </c>
      <c r="B6">
        <v>2.6</v>
      </c>
      <c r="C6">
        <v>2.6760000000000002</v>
      </c>
      <c r="D6">
        <v>17.8</v>
      </c>
      <c r="E6">
        <v>7.8</v>
      </c>
      <c r="F6">
        <v>43.820224719101127</v>
      </c>
      <c r="G6">
        <v>388.4</v>
      </c>
      <c r="H6">
        <v>333.6</v>
      </c>
      <c r="I6">
        <v>85.890834191555101</v>
      </c>
      <c r="J6">
        <v>53.584000000000003</v>
      </c>
      <c r="K6">
        <v>79.2</v>
      </c>
      <c r="L6">
        <v>12.4</v>
      </c>
      <c r="M6">
        <v>29.4</v>
      </c>
      <c r="N6">
        <v>37.4</v>
      </c>
      <c r="O6">
        <v>66</v>
      </c>
      <c r="P6">
        <v>27.8</v>
      </c>
      <c r="Q6">
        <v>29.6</v>
      </c>
      <c r="R6">
        <v>8.6</v>
      </c>
      <c r="S6">
        <v>161.80000000000001</v>
      </c>
      <c r="T6">
        <v>77.2</v>
      </c>
      <c r="U6">
        <v>47.713226205191596</v>
      </c>
      <c r="V6">
        <v>6.6</v>
      </c>
      <c r="W6">
        <v>2.2000000000000002</v>
      </c>
      <c r="X6">
        <v>33.333333333333329</v>
      </c>
      <c r="Y6">
        <v>28.6</v>
      </c>
      <c r="Z6">
        <v>10.4</v>
      </c>
      <c r="AA6">
        <v>36.363636363636367</v>
      </c>
      <c r="AB6">
        <v>1.6</v>
      </c>
      <c r="AC6">
        <v>1.4</v>
      </c>
      <c r="AD6">
        <v>87.5</v>
      </c>
      <c r="AE6">
        <v>24</v>
      </c>
      <c r="AF6">
        <v>5</v>
      </c>
      <c r="AG6">
        <v>20.833333333333336</v>
      </c>
      <c r="AH6">
        <v>4.8</v>
      </c>
      <c r="AI6">
        <v>2</v>
      </c>
      <c r="AJ6">
        <v>41.666666666666671</v>
      </c>
      <c r="AK6">
        <v>1.6</v>
      </c>
      <c r="AL6">
        <v>0.6</v>
      </c>
      <c r="AM6">
        <v>37.5</v>
      </c>
      <c r="AN6">
        <v>0.4</v>
      </c>
      <c r="AO6">
        <v>0.2</v>
      </c>
      <c r="AP6">
        <v>50</v>
      </c>
      <c r="AQ6">
        <v>10.4</v>
      </c>
      <c r="AR6">
        <v>3.4</v>
      </c>
      <c r="AS6">
        <v>32.692307692307693</v>
      </c>
      <c r="AT6">
        <v>3.6</v>
      </c>
      <c r="AU6">
        <v>8.8000000000000007</v>
      </c>
      <c r="AV6">
        <v>21.8</v>
      </c>
      <c r="AW6">
        <v>3.8</v>
      </c>
      <c r="AX6">
        <v>7.4</v>
      </c>
      <c r="AY6">
        <v>18.399999999999999</v>
      </c>
      <c r="AZ6">
        <v>54.8</v>
      </c>
      <c r="BA6">
        <v>19.399999999999999</v>
      </c>
      <c r="BB6">
        <v>35.401459854014597</v>
      </c>
      <c r="BC6">
        <v>3.2</v>
      </c>
      <c r="BD6">
        <v>56.4</v>
      </c>
      <c r="BE6">
        <v>36.6</v>
      </c>
      <c r="BF6">
        <v>64.893617021276597</v>
      </c>
      <c r="BG6">
        <v>26.8</v>
      </c>
      <c r="BH6">
        <v>11.8</v>
      </c>
      <c r="BI6">
        <v>44.029850746268657</v>
      </c>
      <c r="BJ6">
        <v>2.2000000000000002</v>
      </c>
      <c r="BK6">
        <v>1</v>
      </c>
      <c r="BL6">
        <v>45.454545454545453</v>
      </c>
      <c r="BM6">
        <v>33.6</v>
      </c>
      <c r="BN6">
        <v>13</v>
      </c>
      <c r="BO6">
        <v>13</v>
      </c>
      <c r="BP6">
        <v>3.4</v>
      </c>
      <c r="BQ6">
        <v>0</v>
      </c>
      <c r="BR6">
        <v>134.6</v>
      </c>
      <c r="BS6">
        <v>105.2</v>
      </c>
      <c r="BT6">
        <v>78.157503714710259</v>
      </c>
      <c r="BU6">
        <v>58.4</v>
      </c>
      <c r="BV6">
        <v>55</v>
      </c>
      <c r="BW6">
        <v>94.178082191780817</v>
      </c>
      <c r="BX6">
        <v>139.4</v>
      </c>
      <c r="BY6">
        <v>125.6</v>
      </c>
      <c r="BZ6">
        <v>90.10043041606886</v>
      </c>
      <c r="CA6">
        <v>42.2</v>
      </c>
      <c r="CB6">
        <v>24.8</v>
      </c>
      <c r="CC6">
        <v>58.767772511848335</v>
      </c>
      <c r="CD6">
        <v>51.4</v>
      </c>
      <c r="CE6">
        <v>34.799999999999997</v>
      </c>
      <c r="CF6">
        <v>67.704280155642024</v>
      </c>
      <c r="CG6">
        <v>65.599999999999994</v>
      </c>
      <c r="CH6">
        <v>51.2</v>
      </c>
      <c r="CI6">
        <v>78.048780487804876</v>
      </c>
      <c r="CJ6">
        <v>2</v>
      </c>
      <c r="CK6">
        <v>1</v>
      </c>
      <c r="CL6">
        <v>50</v>
      </c>
      <c r="CM6">
        <v>17</v>
      </c>
      <c r="CN6">
        <v>15.8</v>
      </c>
      <c r="CO6">
        <v>92.941176470588232</v>
      </c>
      <c r="CP6">
        <v>7.2</v>
      </c>
      <c r="CQ6">
        <v>16.317999999999998</v>
      </c>
      <c r="CR6">
        <v>4.2200000000000006</v>
      </c>
      <c r="CS6">
        <v>10.904</v>
      </c>
      <c r="CT6">
        <v>18.123999999999999</v>
      </c>
      <c r="CU6">
        <v>19.948</v>
      </c>
      <c r="CV6">
        <v>9.26</v>
      </c>
      <c r="CW6">
        <v>0.6</v>
      </c>
      <c r="CX6">
        <v>0.91999999999999993</v>
      </c>
      <c r="CY6">
        <v>9.4</v>
      </c>
      <c r="CZ6">
        <v>2.6</v>
      </c>
      <c r="DA6">
        <v>27.659574468085108</v>
      </c>
      <c r="DB6">
        <v>325.60000000000002</v>
      </c>
      <c r="DC6">
        <v>270.8</v>
      </c>
      <c r="DD6">
        <v>83.169533169533167</v>
      </c>
      <c r="DE6">
        <v>46.415999999999997</v>
      </c>
      <c r="DF6">
        <v>90.6</v>
      </c>
      <c r="DG6">
        <v>16.2</v>
      </c>
      <c r="DH6">
        <v>35.799999999999997</v>
      </c>
      <c r="DI6">
        <v>38.6</v>
      </c>
      <c r="DJ6">
        <v>63.4</v>
      </c>
      <c r="DK6">
        <v>31.2</v>
      </c>
      <c r="DL6">
        <v>22.8</v>
      </c>
      <c r="DM6">
        <v>9.4</v>
      </c>
      <c r="DN6">
        <v>161.80000000000001</v>
      </c>
      <c r="DO6">
        <v>80.2</v>
      </c>
      <c r="DP6">
        <v>49.567367119901114</v>
      </c>
      <c r="DQ6">
        <v>4.2</v>
      </c>
      <c r="DR6">
        <v>0.4</v>
      </c>
      <c r="DS6">
        <v>9.5238095238095237</v>
      </c>
      <c r="DT6">
        <v>21</v>
      </c>
      <c r="DU6">
        <v>6</v>
      </c>
      <c r="DV6">
        <v>28.571428571428569</v>
      </c>
      <c r="DW6">
        <v>0.8</v>
      </c>
      <c r="DX6">
        <v>0.2</v>
      </c>
      <c r="DY6">
        <v>25</v>
      </c>
      <c r="DZ6">
        <v>25.6</v>
      </c>
      <c r="EA6">
        <v>2.8</v>
      </c>
      <c r="EB6">
        <v>10.9375</v>
      </c>
      <c r="EC6">
        <v>3</v>
      </c>
      <c r="ED6">
        <v>0.6</v>
      </c>
      <c r="EE6">
        <v>20</v>
      </c>
      <c r="EF6">
        <v>4.2</v>
      </c>
      <c r="EG6">
        <v>0.8</v>
      </c>
      <c r="EH6">
        <v>19.047619047619047</v>
      </c>
      <c r="EI6">
        <v>0</v>
      </c>
      <c r="EJ6">
        <v>0</v>
      </c>
      <c r="EK6">
        <v>0</v>
      </c>
      <c r="EL6">
        <v>11.4</v>
      </c>
      <c r="EM6">
        <v>3.4</v>
      </c>
      <c r="EN6">
        <v>29.82456140350877</v>
      </c>
      <c r="EO6">
        <v>3.2</v>
      </c>
      <c r="EP6">
        <v>2.8</v>
      </c>
      <c r="EQ6">
        <v>15.8</v>
      </c>
      <c r="ER6">
        <v>2.8</v>
      </c>
      <c r="ES6">
        <v>7</v>
      </c>
      <c r="ET6">
        <v>11.2</v>
      </c>
      <c r="EU6">
        <v>56.4</v>
      </c>
      <c r="EV6">
        <v>19.8</v>
      </c>
      <c r="EW6">
        <v>35.106382978723403</v>
      </c>
      <c r="EX6">
        <v>2.2000000000000002</v>
      </c>
      <c r="EY6">
        <v>54.8</v>
      </c>
      <c r="EZ6">
        <v>35.4</v>
      </c>
      <c r="FA6">
        <v>64.59854014598541</v>
      </c>
      <c r="FB6">
        <v>26.8</v>
      </c>
      <c r="FC6">
        <v>13.6</v>
      </c>
      <c r="FD6">
        <v>50.746268656716417</v>
      </c>
      <c r="FE6">
        <v>2.4</v>
      </c>
      <c r="FF6">
        <v>1.2</v>
      </c>
      <c r="FG6">
        <v>50</v>
      </c>
      <c r="FH6">
        <v>32.4</v>
      </c>
      <c r="FI6">
        <v>13.4</v>
      </c>
      <c r="FJ6">
        <v>10.6</v>
      </c>
      <c r="FK6">
        <v>2.2000000000000002</v>
      </c>
      <c r="FL6">
        <v>0.4</v>
      </c>
      <c r="FM6">
        <v>109.4</v>
      </c>
      <c r="FN6">
        <v>79</v>
      </c>
      <c r="FO6">
        <v>72.212065813528341</v>
      </c>
      <c r="FP6">
        <v>50.2</v>
      </c>
      <c r="FQ6">
        <v>47.8</v>
      </c>
      <c r="FR6">
        <v>95.2191235059761</v>
      </c>
      <c r="FS6">
        <v>110</v>
      </c>
      <c r="FT6">
        <v>96.8</v>
      </c>
      <c r="FU6">
        <v>88</v>
      </c>
      <c r="FV6">
        <v>39</v>
      </c>
      <c r="FW6">
        <v>23.2</v>
      </c>
      <c r="FX6">
        <v>59.487179487179489</v>
      </c>
      <c r="FY6">
        <v>37</v>
      </c>
      <c r="FZ6">
        <v>26.2</v>
      </c>
      <c r="GA6">
        <v>70.810810810810807</v>
      </c>
      <c r="GB6">
        <v>58.4</v>
      </c>
      <c r="GC6">
        <v>39.799999999999997</v>
      </c>
      <c r="GD6">
        <v>68.150684931506845</v>
      </c>
      <c r="GE6">
        <v>0.4</v>
      </c>
      <c r="GF6">
        <v>0</v>
      </c>
      <c r="GG6">
        <v>0</v>
      </c>
      <c r="GH6">
        <v>16</v>
      </c>
      <c r="GI6">
        <v>13.8</v>
      </c>
      <c r="GJ6">
        <v>86.25</v>
      </c>
      <c r="GK6">
        <v>8.4</v>
      </c>
      <c r="GL6">
        <v>15.864000000000001</v>
      </c>
      <c r="GM6">
        <v>3.5859999999999999</v>
      </c>
      <c r="GN6">
        <v>12.081999999999999</v>
      </c>
      <c r="GO6">
        <v>18.618000000000002</v>
      </c>
      <c r="GP6">
        <v>19.271999999999998</v>
      </c>
      <c r="GQ6">
        <v>15.203999999999999</v>
      </c>
      <c r="GR6">
        <f t="shared" si="25"/>
        <v>2.3719999999999999</v>
      </c>
      <c r="GS6">
        <f t="shared" si="26"/>
        <v>0.91999999999999993</v>
      </c>
      <c r="GT6">
        <f t="shared" si="27"/>
        <v>-7.6000000000000068E-2</v>
      </c>
      <c r="GU6">
        <f t="shared" si="28"/>
        <v>-0.31999999999999995</v>
      </c>
      <c r="GV6">
        <f t="shared" si="29"/>
        <v>11.200000000000001</v>
      </c>
      <c r="GW6">
        <f t="shared" si="30"/>
        <v>5.2</v>
      </c>
      <c r="GX6" s="2">
        <f t="shared" si="31"/>
        <v>0.4212121212121212</v>
      </c>
      <c r="GY6" s="2">
        <f t="shared" si="32"/>
        <v>0.44848484848484849</v>
      </c>
      <c r="GZ6" s="2">
        <f t="shared" si="33"/>
        <v>0.13030303030303031</v>
      </c>
      <c r="HA6">
        <f t="shared" si="34"/>
        <v>0.15033707865168539</v>
      </c>
      <c r="HB6">
        <f t="shared" si="35"/>
        <v>9.7872340425531903E-2</v>
      </c>
    </row>
    <row r="7" spans="1:210" x14ac:dyDescent="0.2">
      <c r="A7" t="s">
        <v>98</v>
      </c>
      <c r="B7">
        <v>0.875</v>
      </c>
      <c r="C7">
        <v>0.55624999999999991</v>
      </c>
      <c r="D7">
        <v>8.125</v>
      </c>
      <c r="E7">
        <v>2.625</v>
      </c>
      <c r="F7">
        <v>32.307692307692307</v>
      </c>
      <c r="G7">
        <v>339</v>
      </c>
      <c r="H7">
        <v>280.375</v>
      </c>
      <c r="I7">
        <v>82.706489675516224</v>
      </c>
      <c r="J7">
        <v>44.802500000000002</v>
      </c>
      <c r="K7">
        <v>99.75</v>
      </c>
      <c r="L7">
        <v>22</v>
      </c>
      <c r="M7">
        <v>36.875</v>
      </c>
      <c r="N7">
        <v>40.875</v>
      </c>
      <c r="O7">
        <v>74</v>
      </c>
      <c r="P7">
        <v>35.75</v>
      </c>
      <c r="Q7">
        <v>30.375</v>
      </c>
      <c r="R7">
        <v>7.875</v>
      </c>
      <c r="S7">
        <v>182.75</v>
      </c>
      <c r="T7">
        <v>87.5</v>
      </c>
      <c r="U7">
        <v>47.879616963064301</v>
      </c>
      <c r="V7">
        <v>5.625</v>
      </c>
      <c r="W7">
        <v>1.25</v>
      </c>
      <c r="X7">
        <v>22.222222222222221</v>
      </c>
      <c r="Y7">
        <v>21.5</v>
      </c>
      <c r="Z7">
        <v>5.875</v>
      </c>
      <c r="AA7">
        <v>27.325581395348834</v>
      </c>
      <c r="AB7">
        <v>0.125</v>
      </c>
      <c r="AC7">
        <v>0</v>
      </c>
      <c r="AD7">
        <v>0</v>
      </c>
      <c r="AE7">
        <v>25.375</v>
      </c>
      <c r="AF7">
        <v>1.75</v>
      </c>
      <c r="AG7">
        <v>6.8965517241379306</v>
      </c>
      <c r="AH7">
        <v>2.75</v>
      </c>
      <c r="AI7">
        <v>0.625</v>
      </c>
      <c r="AJ7">
        <v>22.727272727272727</v>
      </c>
      <c r="AK7">
        <v>3.375</v>
      </c>
      <c r="AL7">
        <v>0.125</v>
      </c>
      <c r="AM7">
        <v>3.7037037037037033</v>
      </c>
      <c r="AN7">
        <v>0</v>
      </c>
      <c r="AO7">
        <v>0</v>
      </c>
      <c r="AP7">
        <v>0</v>
      </c>
      <c r="AQ7">
        <v>8</v>
      </c>
      <c r="AR7">
        <v>2.875</v>
      </c>
      <c r="AS7">
        <v>35.9375</v>
      </c>
      <c r="AT7">
        <v>2.75</v>
      </c>
      <c r="AU7">
        <v>3.375</v>
      </c>
      <c r="AV7">
        <v>13.875</v>
      </c>
      <c r="AW7">
        <v>1.625</v>
      </c>
      <c r="AX7">
        <v>5.875</v>
      </c>
      <c r="AY7">
        <v>7.25</v>
      </c>
      <c r="AZ7">
        <v>58.5</v>
      </c>
      <c r="BA7">
        <v>20.625</v>
      </c>
      <c r="BB7">
        <v>35.256410256410255</v>
      </c>
      <c r="BC7">
        <v>1.5</v>
      </c>
      <c r="BD7">
        <v>68.75</v>
      </c>
      <c r="BE7">
        <v>43.125</v>
      </c>
      <c r="BF7">
        <v>62.727272727272734</v>
      </c>
      <c r="BG7">
        <v>29.875</v>
      </c>
      <c r="BH7">
        <v>14.875</v>
      </c>
      <c r="BI7">
        <v>49.7907949790795</v>
      </c>
      <c r="BJ7">
        <v>3.125</v>
      </c>
      <c r="BK7">
        <v>0.875</v>
      </c>
      <c r="BL7">
        <v>28.000000000000004</v>
      </c>
      <c r="BM7">
        <v>37.25</v>
      </c>
      <c r="BN7">
        <v>16.375</v>
      </c>
      <c r="BO7">
        <v>15</v>
      </c>
      <c r="BP7">
        <v>2.625</v>
      </c>
      <c r="BQ7">
        <v>0.25</v>
      </c>
      <c r="BR7">
        <v>120.375</v>
      </c>
      <c r="BS7">
        <v>88.625</v>
      </c>
      <c r="BT7">
        <v>73.624091381100726</v>
      </c>
      <c r="BU7">
        <v>49.125</v>
      </c>
      <c r="BV7">
        <v>46.125</v>
      </c>
      <c r="BW7">
        <v>93.893129770992374</v>
      </c>
      <c r="BX7">
        <v>113.25</v>
      </c>
      <c r="BY7">
        <v>98</v>
      </c>
      <c r="BZ7">
        <v>86.534216335540833</v>
      </c>
      <c r="CA7">
        <v>40</v>
      </c>
      <c r="CB7">
        <v>22.5</v>
      </c>
      <c r="CC7">
        <v>56.25</v>
      </c>
      <c r="CD7">
        <v>45.625</v>
      </c>
      <c r="CE7">
        <v>31.75</v>
      </c>
      <c r="CF7">
        <v>69.589041095890408</v>
      </c>
      <c r="CG7">
        <v>61.25</v>
      </c>
      <c r="CH7">
        <v>41.875</v>
      </c>
      <c r="CI7">
        <v>68.367346938775512</v>
      </c>
      <c r="CJ7">
        <v>0.75</v>
      </c>
      <c r="CK7">
        <v>0.25</v>
      </c>
      <c r="CL7">
        <v>33.333333333333329</v>
      </c>
      <c r="CM7">
        <v>13</v>
      </c>
      <c r="CN7">
        <v>10.875</v>
      </c>
      <c r="CO7">
        <v>83.65384615384616</v>
      </c>
      <c r="CP7">
        <v>8.625</v>
      </c>
      <c r="CQ7">
        <v>16.05875</v>
      </c>
      <c r="CR7">
        <v>3.65625</v>
      </c>
      <c r="CS7">
        <v>12.227500000000001</v>
      </c>
      <c r="CT7">
        <v>24.12875</v>
      </c>
      <c r="CU7">
        <v>18.805</v>
      </c>
      <c r="CV7">
        <v>12.32</v>
      </c>
      <c r="CW7">
        <v>1.625</v>
      </c>
      <c r="CX7">
        <v>1.4062500000000002</v>
      </c>
      <c r="CY7">
        <v>13.5</v>
      </c>
      <c r="CZ7">
        <v>5</v>
      </c>
      <c r="DA7">
        <v>37.037037037037038</v>
      </c>
      <c r="DB7">
        <v>425.625</v>
      </c>
      <c r="DC7">
        <v>357.375</v>
      </c>
      <c r="DD7">
        <v>83.964757709251103</v>
      </c>
      <c r="DE7">
        <v>55.197499999999998</v>
      </c>
      <c r="DF7">
        <v>100.5</v>
      </c>
      <c r="DG7">
        <v>14.875</v>
      </c>
      <c r="DH7">
        <v>35</v>
      </c>
      <c r="DI7">
        <v>50.625</v>
      </c>
      <c r="DJ7">
        <v>75.125</v>
      </c>
      <c r="DK7">
        <v>30.375</v>
      </c>
      <c r="DL7">
        <v>33.5</v>
      </c>
      <c r="DM7">
        <v>11.25</v>
      </c>
      <c r="DN7">
        <v>182.75</v>
      </c>
      <c r="DO7">
        <v>89.125</v>
      </c>
      <c r="DP7">
        <v>48.768809849521205</v>
      </c>
      <c r="DQ7">
        <v>6.875</v>
      </c>
      <c r="DR7">
        <v>1.875</v>
      </c>
      <c r="DS7">
        <v>27.27272727272727</v>
      </c>
      <c r="DT7">
        <v>29.25</v>
      </c>
      <c r="DU7">
        <v>7.625</v>
      </c>
      <c r="DV7">
        <v>26.068376068376072</v>
      </c>
      <c r="DW7">
        <v>1.25</v>
      </c>
      <c r="DX7">
        <v>0.875</v>
      </c>
      <c r="DY7">
        <v>70</v>
      </c>
      <c r="DZ7">
        <v>26.75</v>
      </c>
      <c r="EA7">
        <v>4.125</v>
      </c>
      <c r="EB7">
        <v>15.420560747663551</v>
      </c>
      <c r="EC7">
        <v>4.75</v>
      </c>
      <c r="ED7">
        <v>2</v>
      </c>
      <c r="EE7">
        <v>42.105263157894733</v>
      </c>
      <c r="EF7">
        <v>3.625</v>
      </c>
      <c r="EG7">
        <v>1</v>
      </c>
      <c r="EH7">
        <v>27.586206896551722</v>
      </c>
      <c r="EI7">
        <v>0.125</v>
      </c>
      <c r="EJ7">
        <v>0.125</v>
      </c>
      <c r="EK7">
        <v>100</v>
      </c>
      <c r="EL7">
        <v>12.5</v>
      </c>
      <c r="EM7">
        <v>3.5</v>
      </c>
      <c r="EN7">
        <v>28.000000000000004</v>
      </c>
      <c r="EO7">
        <v>3.375</v>
      </c>
      <c r="EP7">
        <v>6.75</v>
      </c>
      <c r="EQ7">
        <v>20.75</v>
      </c>
      <c r="ER7">
        <v>2.875</v>
      </c>
      <c r="ES7">
        <v>8.25</v>
      </c>
      <c r="ET7">
        <v>15</v>
      </c>
      <c r="EU7">
        <v>68.75</v>
      </c>
      <c r="EV7">
        <v>25.625</v>
      </c>
      <c r="EW7">
        <v>37.272727272727273</v>
      </c>
      <c r="EX7">
        <v>2.875</v>
      </c>
      <c r="EY7">
        <v>58.5</v>
      </c>
      <c r="EZ7">
        <v>37.875</v>
      </c>
      <c r="FA7">
        <v>64.743589743589752</v>
      </c>
      <c r="FB7">
        <v>29.875</v>
      </c>
      <c r="FC7">
        <v>12.625</v>
      </c>
      <c r="FD7">
        <v>42.25941422594142</v>
      </c>
      <c r="FE7">
        <v>3.5</v>
      </c>
      <c r="FF7">
        <v>1.5</v>
      </c>
      <c r="FG7">
        <v>42.857142857142854</v>
      </c>
      <c r="FH7">
        <v>33.25</v>
      </c>
      <c r="FI7">
        <v>10.625</v>
      </c>
      <c r="FJ7">
        <v>13.5</v>
      </c>
      <c r="FK7">
        <v>2.625</v>
      </c>
      <c r="FL7">
        <v>0.25</v>
      </c>
      <c r="FM7">
        <v>148.125</v>
      </c>
      <c r="FN7">
        <v>110.875</v>
      </c>
      <c r="FO7">
        <v>74.852320675105489</v>
      </c>
      <c r="FP7">
        <v>62.125</v>
      </c>
      <c r="FQ7">
        <v>58.125</v>
      </c>
      <c r="FR7">
        <v>93.561368209255534</v>
      </c>
      <c r="FS7">
        <v>143.875</v>
      </c>
      <c r="FT7">
        <v>127.75</v>
      </c>
      <c r="FU7">
        <v>88.792354474370114</v>
      </c>
      <c r="FV7">
        <v>46.25</v>
      </c>
      <c r="FW7">
        <v>27.875</v>
      </c>
      <c r="FX7">
        <v>60.270270270270267</v>
      </c>
      <c r="FY7">
        <v>55.125</v>
      </c>
      <c r="FZ7">
        <v>38.75</v>
      </c>
      <c r="GA7">
        <v>70.29478458049887</v>
      </c>
      <c r="GB7">
        <v>70.5</v>
      </c>
      <c r="GC7">
        <v>53.25</v>
      </c>
      <c r="GD7">
        <v>75.531914893617028</v>
      </c>
      <c r="GE7">
        <v>2</v>
      </c>
      <c r="GF7">
        <v>1</v>
      </c>
      <c r="GG7">
        <v>50</v>
      </c>
      <c r="GH7">
        <v>19</v>
      </c>
      <c r="GI7">
        <v>16.5</v>
      </c>
      <c r="GJ7">
        <v>86.842105263157904</v>
      </c>
      <c r="GK7">
        <v>7.125</v>
      </c>
      <c r="GL7">
        <v>16.106250000000003</v>
      </c>
      <c r="GM7">
        <v>4.0950000000000006</v>
      </c>
      <c r="GN7">
        <v>11.350000000000001</v>
      </c>
      <c r="GO7">
        <v>20.85</v>
      </c>
      <c r="GP7">
        <v>19.2</v>
      </c>
      <c r="GQ7">
        <v>9.2462499999999999</v>
      </c>
      <c r="GR7">
        <f t="shared" si="25"/>
        <v>0.55624999999999991</v>
      </c>
      <c r="GS7">
        <f t="shared" si="26"/>
        <v>1.3112500000000002</v>
      </c>
      <c r="GT7">
        <f t="shared" si="27"/>
        <v>0.31875000000000009</v>
      </c>
      <c r="GU7">
        <f t="shared" si="28"/>
        <v>0.21874999999999978</v>
      </c>
      <c r="GV7">
        <f t="shared" si="29"/>
        <v>2.5</v>
      </c>
      <c r="GW7">
        <f t="shared" si="30"/>
        <v>6.625</v>
      </c>
      <c r="GX7" s="2">
        <f t="shared" si="31"/>
        <v>0.48310810810810811</v>
      </c>
      <c r="GY7" s="2">
        <f t="shared" si="32"/>
        <v>0.41047297297297297</v>
      </c>
      <c r="GZ7" s="2">
        <f t="shared" si="33"/>
        <v>0.10641891891891891</v>
      </c>
      <c r="HA7">
        <f t="shared" si="34"/>
        <v>6.8461538461538449E-2</v>
      </c>
      <c r="HB7">
        <f t="shared" si="35"/>
        <v>0.10416666666666669</v>
      </c>
    </row>
    <row r="8" spans="1:210" x14ac:dyDescent="0.2">
      <c r="A8" t="s">
        <v>99</v>
      </c>
      <c r="B8">
        <v>1.5</v>
      </c>
      <c r="C8">
        <v>1.0075000000000001</v>
      </c>
      <c r="D8">
        <v>7.875</v>
      </c>
      <c r="E8">
        <v>3.375</v>
      </c>
      <c r="F8">
        <v>42.857142857142854</v>
      </c>
      <c r="G8">
        <v>342.125</v>
      </c>
      <c r="H8">
        <v>281.25</v>
      </c>
      <c r="I8">
        <v>82.206795761782971</v>
      </c>
      <c r="J8">
        <v>45.497499999999995</v>
      </c>
      <c r="K8">
        <v>95.875</v>
      </c>
      <c r="L8">
        <v>22.875</v>
      </c>
      <c r="M8">
        <v>37.625</v>
      </c>
      <c r="N8">
        <v>35.375</v>
      </c>
      <c r="O8">
        <v>69</v>
      </c>
      <c r="P8">
        <v>41.125</v>
      </c>
      <c r="Q8">
        <v>21.375</v>
      </c>
      <c r="R8">
        <v>6.5</v>
      </c>
      <c r="S8">
        <v>167.125</v>
      </c>
      <c r="T8">
        <v>77.25</v>
      </c>
      <c r="U8">
        <v>46.222887060583396</v>
      </c>
      <c r="V8">
        <v>4.75</v>
      </c>
      <c r="W8">
        <v>1.375</v>
      </c>
      <c r="X8">
        <v>28.947368421052634</v>
      </c>
      <c r="Y8">
        <v>17.75</v>
      </c>
      <c r="Z8">
        <v>5</v>
      </c>
      <c r="AA8">
        <v>28.169014084507044</v>
      </c>
      <c r="AB8">
        <v>1.25</v>
      </c>
      <c r="AC8">
        <v>0.125</v>
      </c>
      <c r="AD8">
        <v>10</v>
      </c>
      <c r="AE8">
        <v>24</v>
      </c>
      <c r="AF8">
        <v>2.25</v>
      </c>
      <c r="AG8">
        <v>9.375</v>
      </c>
      <c r="AH8">
        <v>3</v>
      </c>
      <c r="AI8">
        <v>1</v>
      </c>
      <c r="AJ8">
        <v>33.333333333333329</v>
      </c>
      <c r="AK8">
        <v>2.25</v>
      </c>
      <c r="AL8">
        <v>0.5</v>
      </c>
      <c r="AM8">
        <v>22.222222222222221</v>
      </c>
      <c r="AN8">
        <v>0.375</v>
      </c>
      <c r="AO8">
        <v>0.375</v>
      </c>
      <c r="AP8">
        <v>100</v>
      </c>
      <c r="AQ8">
        <v>10</v>
      </c>
      <c r="AR8">
        <v>2.875</v>
      </c>
      <c r="AS8">
        <v>28.749999999999996</v>
      </c>
      <c r="AT8">
        <v>2.125</v>
      </c>
      <c r="AU8">
        <v>3.625</v>
      </c>
      <c r="AV8">
        <v>13.125</v>
      </c>
      <c r="AW8">
        <v>2.625</v>
      </c>
      <c r="AX8">
        <v>5</v>
      </c>
      <c r="AY8">
        <v>9.375</v>
      </c>
      <c r="AZ8">
        <v>56.75</v>
      </c>
      <c r="BA8">
        <v>22.5</v>
      </c>
      <c r="BB8">
        <v>39.647577092511014</v>
      </c>
      <c r="BC8">
        <v>2</v>
      </c>
      <c r="BD8">
        <v>62.75</v>
      </c>
      <c r="BE8">
        <v>34.75</v>
      </c>
      <c r="BF8">
        <v>55.378486055776889</v>
      </c>
      <c r="BG8">
        <v>30.25</v>
      </c>
      <c r="BH8">
        <v>12.75</v>
      </c>
      <c r="BI8">
        <v>42.148760330578511</v>
      </c>
      <c r="BJ8">
        <v>2.25</v>
      </c>
      <c r="BK8">
        <v>1.625</v>
      </c>
      <c r="BL8">
        <v>72.222222222222214</v>
      </c>
      <c r="BM8">
        <v>45.5</v>
      </c>
      <c r="BN8">
        <v>17.75</v>
      </c>
      <c r="BO8">
        <v>12.25</v>
      </c>
      <c r="BP8">
        <v>2.875</v>
      </c>
      <c r="BQ8">
        <v>0.5</v>
      </c>
      <c r="BR8">
        <v>119.125</v>
      </c>
      <c r="BS8">
        <v>87.25</v>
      </c>
      <c r="BT8">
        <v>73.242392444910806</v>
      </c>
      <c r="BU8">
        <v>53.25</v>
      </c>
      <c r="BV8">
        <v>49.125</v>
      </c>
      <c r="BW8">
        <v>92.25352112676056</v>
      </c>
      <c r="BX8">
        <v>113.625</v>
      </c>
      <c r="BY8">
        <v>98.75</v>
      </c>
      <c r="BZ8">
        <v>86.908690869086911</v>
      </c>
      <c r="CA8">
        <v>42.25</v>
      </c>
      <c r="CB8">
        <v>22.875</v>
      </c>
      <c r="CC8">
        <v>54.142011834319526</v>
      </c>
      <c r="CD8">
        <v>35.875</v>
      </c>
      <c r="CE8">
        <v>23.625</v>
      </c>
      <c r="CF8">
        <v>65.853658536585371</v>
      </c>
      <c r="CG8">
        <v>61</v>
      </c>
      <c r="CH8">
        <v>38.625</v>
      </c>
      <c r="CI8">
        <v>63.319672131147541</v>
      </c>
      <c r="CJ8">
        <v>0.25</v>
      </c>
      <c r="CK8">
        <v>0.125</v>
      </c>
      <c r="CL8">
        <v>50</v>
      </c>
      <c r="CM8">
        <v>13.375</v>
      </c>
      <c r="CN8">
        <v>12</v>
      </c>
      <c r="CO8">
        <v>89.719626168224295</v>
      </c>
      <c r="CP8">
        <v>10</v>
      </c>
      <c r="CQ8">
        <v>16.236249999999998</v>
      </c>
      <c r="CR8">
        <v>3.62</v>
      </c>
      <c r="CS8">
        <v>12.500000000000002</v>
      </c>
      <c r="CT8">
        <v>19.94125</v>
      </c>
      <c r="CU8">
        <v>19.317499999999999</v>
      </c>
      <c r="CV8">
        <v>13.626249999999999</v>
      </c>
      <c r="CW8">
        <v>2</v>
      </c>
      <c r="CX8">
        <v>1.9087500000000004</v>
      </c>
      <c r="CY8">
        <v>17</v>
      </c>
      <c r="CZ8">
        <v>6.25</v>
      </c>
      <c r="DA8">
        <v>36.764705882352942</v>
      </c>
      <c r="DB8">
        <v>420.375</v>
      </c>
      <c r="DC8">
        <v>352.5</v>
      </c>
      <c r="DD8">
        <v>83.853702051739518</v>
      </c>
      <c r="DE8">
        <v>54.502500000000005</v>
      </c>
      <c r="DF8">
        <v>93</v>
      </c>
      <c r="DG8">
        <v>11.875</v>
      </c>
      <c r="DH8">
        <v>27.375</v>
      </c>
      <c r="DI8">
        <v>53.75</v>
      </c>
      <c r="DJ8">
        <v>73.375</v>
      </c>
      <c r="DK8">
        <v>25.75</v>
      </c>
      <c r="DL8">
        <v>33.75</v>
      </c>
      <c r="DM8">
        <v>13.875</v>
      </c>
      <c r="DN8">
        <v>167.125</v>
      </c>
      <c r="DO8">
        <v>84.5</v>
      </c>
      <c r="DP8">
        <v>50.560957367240093</v>
      </c>
      <c r="DQ8">
        <v>6.25</v>
      </c>
      <c r="DR8">
        <v>1.625</v>
      </c>
      <c r="DS8">
        <v>26</v>
      </c>
      <c r="DT8">
        <v>34.5</v>
      </c>
      <c r="DU8">
        <v>10.125</v>
      </c>
      <c r="DV8">
        <v>29.347826086956523</v>
      </c>
      <c r="DW8">
        <v>1.25</v>
      </c>
      <c r="DX8">
        <v>0.625</v>
      </c>
      <c r="DY8">
        <v>50</v>
      </c>
      <c r="DZ8">
        <v>26.375</v>
      </c>
      <c r="EA8">
        <v>5.25</v>
      </c>
      <c r="EB8">
        <v>19.90521327014218</v>
      </c>
      <c r="EC8">
        <v>7.5</v>
      </c>
      <c r="ED8">
        <v>2.5</v>
      </c>
      <c r="EE8">
        <v>33.333333333333329</v>
      </c>
      <c r="EF8">
        <v>3.5</v>
      </c>
      <c r="EG8">
        <v>0.875</v>
      </c>
      <c r="EH8">
        <v>25</v>
      </c>
      <c r="EI8">
        <v>0.125</v>
      </c>
      <c r="EJ8">
        <v>0.125</v>
      </c>
      <c r="EK8">
        <v>100</v>
      </c>
      <c r="EL8">
        <v>22.25</v>
      </c>
      <c r="EM8">
        <v>6.375</v>
      </c>
      <c r="EN8">
        <v>28.651685393258425</v>
      </c>
      <c r="EO8">
        <v>6.375</v>
      </c>
      <c r="EP8">
        <v>10.25</v>
      </c>
      <c r="EQ8">
        <v>30.375</v>
      </c>
      <c r="ER8">
        <v>5.625</v>
      </c>
      <c r="ES8">
        <v>11.375</v>
      </c>
      <c r="ET8">
        <v>26.375</v>
      </c>
      <c r="EU8">
        <v>62.75</v>
      </c>
      <c r="EV8">
        <v>28</v>
      </c>
      <c r="EW8">
        <v>44.621513944223103</v>
      </c>
      <c r="EX8">
        <v>1.25</v>
      </c>
      <c r="EY8">
        <v>56.75</v>
      </c>
      <c r="EZ8">
        <v>34.25</v>
      </c>
      <c r="FA8">
        <v>60.352422907488986</v>
      </c>
      <c r="FB8">
        <v>30.25</v>
      </c>
      <c r="FC8">
        <v>14.875</v>
      </c>
      <c r="FD8">
        <v>49.173553719008268</v>
      </c>
      <c r="FE8">
        <v>2.625</v>
      </c>
      <c r="FF8">
        <v>1.5</v>
      </c>
      <c r="FG8">
        <v>57.142857142857139</v>
      </c>
      <c r="FH8">
        <v>28.25</v>
      </c>
      <c r="FI8">
        <v>11.5</v>
      </c>
      <c r="FJ8">
        <v>12.25</v>
      </c>
      <c r="FK8">
        <v>3</v>
      </c>
      <c r="FL8">
        <v>0</v>
      </c>
      <c r="FM8">
        <v>140.25</v>
      </c>
      <c r="FN8">
        <v>108.5</v>
      </c>
      <c r="FO8">
        <v>77.361853832442065</v>
      </c>
      <c r="FP8">
        <v>56.75</v>
      </c>
      <c r="FQ8">
        <v>51.75</v>
      </c>
      <c r="FR8">
        <v>91.189427312775322</v>
      </c>
      <c r="FS8">
        <v>149.125</v>
      </c>
      <c r="FT8">
        <v>131.5</v>
      </c>
      <c r="FU8">
        <v>88.181056160938809</v>
      </c>
      <c r="FV8">
        <v>39</v>
      </c>
      <c r="FW8">
        <v>21.875</v>
      </c>
      <c r="FX8">
        <v>56.089743589743591</v>
      </c>
      <c r="FY8">
        <v>59.75</v>
      </c>
      <c r="FZ8">
        <v>42.875</v>
      </c>
      <c r="GA8">
        <v>71.757322175732213</v>
      </c>
      <c r="GB8">
        <v>65.125</v>
      </c>
      <c r="GC8">
        <v>53</v>
      </c>
      <c r="GD8">
        <v>81.381957773512482</v>
      </c>
      <c r="GE8">
        <v>1</v>
      </c>
      <c r="GF8">
        <v>0.375</v>
      </c>
      <c r="GG8">
        <v>37.5</v>
      </c>
      <c r="GH8">
        <v>17</v>
      </c>
      <c r="GI8">
        <v>14.875</v>
      </c>
      <c r="GJ8">
        <v>87.5</v>
      </c>
      <c r="GK8">
        <v>5.125</v>
      </c>
      <c r="GL8">
        <v>16.583749999999998</v>
      </c>
      <c r="GM8">
        <v>4.2287499999999998</v>
      </c>
      <c r="GN8">
        <v>9.8275000000000006</v>
      </c>
      <c r="GO8">
        <v>17.49625</v>
      </c>
      <c r="GP8">
        <v>18.876249999999999</v>
      </c>
      <c r="GQ8">
        <v>10.708749999999998</v>
      </c>
      <c r="GR8">
        <f t="shared" si="25"/>
        <v>0.72250000000000003</v>
      </c>
      <c r="GS8">
        <f t="shared" si="26"/>
        <v>1.8137500000000004</v>
      </c>
      <c r="GT8">
        <f t="shared" si="27"/>
        <v>0.49249999999999994</v>
      </c>
      <c r="GU8">
        <f t="shared" si="28"/>
        <v>9.1249999999999609E-2</v>
      </c>
      <c r="GV8">
        <f t="shared" si="29"/>
        <v>3.125</v>
      </c>
      <c r="GW8">
        <f t="shared" si="30"/>
        <v>10.75</v>
      </c>
      <c r="GX8" s="2">
        <f t="shared" si="31"/>
        <v>0.59601449275362317</v>
      </c>
      <c r="GY8" s="2">
        <f t="shared" si="32"/>
        <v>0.30978260869565216</v>
      </c>
      <c r="GZ8" s="2">
        <f t="shared" si="33"/>
        <v>9.420289855072464E-2</v>
      </c>
      <c r="HA8">
        <f t="shared" si="34"/>
        <v>0.12793650793650793</v>
      </c>
      <c r="HB8">
        <f t="shared" si="35"/>
        <v>0.11227941176470591</v>
      </c>
    </row>
    <row r="9" spans="1:210" x14ac:dyDescent="0.2">
      <c r="A9" t="s">
        <v>100</v>
      </c>
      <c r="B9" s="1">
        <v>1.25</v>
      </c>
      <c r="C9" s="1">
        <v>1.1312500000000001</v>
      </c>
      <c r="D9" s="1">
        <v>11.625</v>
      </c>
      <c r="E9" s="1">
        <v>4</v>
      </c>
      <c r="F9" s="1">
        <v>34.408602150537639</v>
      </c>
      <c r="G9" s="1">
        <v>372.75</v>
      </c>
      <c r="H9" s="1">
        <v>311</v>
      </c>
      <c r="I9" s="1">
        <v>83.433936955063714</v>
      </c>
      <c r="J9" s="1">
        <v>51.424999999999997</v>
      </c>
      <c r="K9" s="1">
        <v>99</v>
      </c>
      <c r="L9" s="1">
        <v>11.375</v>
      </c>
      <c r="M9" s="1">
        <v>36.125</v>
      </c>
      <c r="N9" s="1">
        <v>51.5</v>
      </c>
      <c r="O9" s="1">
        <v>75.5</v>
      </c>
      <c r="P9" s="1">
        <v>31.375</v>
      </c>
      <c r="Q9" s="1">
        <v>34</v>
      </c>
      <c r="R9" s="1">
        <v>10.125</v>
      </c>
      <c r="S9" s="1">
        <v>178.75</v>
      </c>
      <c r="T9" s="1">
        <v>85</v>
      </c>
      <c r="U9" s="1">
        <v>47.552447552447553</v>
      </c>
      <c r="V9" s="1">
        <v>6.5</v>
      </c>
      <c r="W9" s="1">
        <v>1.875</v>
      </c>
      <c r="X9" s="1">
        <v>28.846153846153843</v>
      </c>
      <c r="Y9" s="1">
        <v>29.5</v>
      </c>
      <c r="Z9" s="1">
        <v>7.25</v>
      </c>
      <c r="AA9" s="1">
        <v>24.576271186440678</v>
      </c>
      <c r="AB9" s="1">
        <v>0.875</v>
      </c>
      <c r="AC9" s="1">
        <v>0.25</v>
      </c>
      <c r="AD9" s="1">
        <v>28.571428571428569</v>
      </c>
      <c r="AE9" s="1">
        <v>26.875</v>
      </c>
      <c r="AF9" s="1">
        <v>3.375</v>
      </c>
      <c r="AG9" s="1">
        <v>12.558139534883722</v>
      </c>
      <c r="AH9" s="1">
        <v>4.25</v>
      </c>
      <c r="AI9" s="1">
        <v>1.25</v>
      </c>
      <c r="AJ9" s="1">
        <v>29.411764705882355</v>
      </c>
      <c r="AK9" s="1">
        <v>2.5</v>
      </c>
      <c r="AL9" s="1">
        <v>0.5</v>
      </c>
      <c r="AM9" s="1">
        <v>20</v>
      </c>
      <c r="AN9" s="1">
        <v>0.125</v>
      </c>
      <c r="AO9" s="1">
        <v>0.125</v>
      </c>
      <c r="AP9" s="1">
        <v>100</v>
      </c>
      <c r="AQ9" s="1">
        <v>14.875</v>
      </c>
      <c r="AR9" s="1">
        <v>4.125</v>
      </c>
      <c r="AS9" s="1">
        <v>27.731092436974791</v>
      </c>
      <c r="AT9" s="1">
        <v>4.625</v>
      </c>
      <c r="AU9" s="1">
        <v>7</v>
      </c>
      <c r="AV9" s="1">
        <v>22</v>
      </c>
      <c r="AW9" s="1">
        <v>2.5</v>
      </c>
      <c r="AX9" s="1">
        <v>7.625</v>
      </c>
      <c r="AY9" s="1">
        <v>13.125</v>
      </c>
      <c r="AZ9" s="1">
        <v>60.875</v>
      </c>
      <c r="BA9" s="1">
        <v>22.75</v>
      </c>
      <c r="BB9" s="1">
        <v>37.371663244353179</v>
      </c>
      <c r="BC9" s="1">
        <v>1.125</v>
      </c>
      <c r="BD9" s="1">
        <v>61.5</v>
      </c>
      <c r="BE9" s="1">
        <v>36.875</v>
      </c>
      <c r="BF9" s="1">
        <v>59.959349593495936</v>
      </c>
      <c r="BG9" s="1">
        <v>35.125</v>
      </c>
      <c r="BH9" s="1">
        <v>15.75</v>
      </c>
      <c r="BI9" s="1">
        <v>44.839857651245552</v>
      </c>
      <c r="BJ9" s="1">
        <v>2.5</v>
      </c>
      <c r="BK9" s="1">
        <v>1.25</v>
      </c>
      <c r="BL9" s="1">
        <v>50</v>
      </c>
      <c r="BM9" s="1">
        <v>30.75</v>
      </c>
      <c r="BN9" s="1">
        <v>14.625</v>
      </c>
      <c r="BO9" s="1">
        <v>14.75</v>
      </c>
      <c r="BP9" s="1">
        <v>3.25</v>
      </c>
      <c r="BQ9" s="1">
        <v>0.25</v>
      </c>
      <c r="BR9" s="1">
        <v>135.25</v>
      </c>
      <c r="BS9" s="1">
        <v>101.875</v>
      </c>
      <c r="BT9" s="1">
        <v>75.323475046210717</v>
      </c>
      <c r="BU9" s="1">
        <v>48.875</v>
      </c>
      <c r="BV9" s="1">
        <v>45.75</v>
      </c>
      <c r="BW9" s="1">
        <v>93.606138107416882</v>
      </c>
      <c r="BX9" s="1">
        <v>124.875</v>
      </c>
      <c r="BY9" s="1">
        <v>109.875</v>
      </c>
      <c r="BZ9" s="1">
        <v>87.987987987987992</v>
      </c>
      <c r="CA9" s="1">
        <v>41</v>
      </c>
      <c r="CB9" s="1">
        <v>23.375</v>
      </c>
      <c r="CC9" s="1">
        <v>57.012195121951216</v>
      </c>
      <c r="CD9" s="1">
        <v>49.125</v>
      </c>
      <c r="CE9" s="1">
        <v>34.875</v>
      </c>
      <c r="CF9" s="1">
        <v>70.992366412213741</v>
      </c>
      <c r="CG9" s="1">
        <v>62.625</v>
      </c>
      <c r="CH9" s="1">
        <v>50.125</v>
      </c>
      <c r="CI9" s="1">
        <v>80.039920159680648</v>
      </c>
      <c r="CJ9" s="1">
        <v>1.25</v>
      </c>
      <c r="CK9" s="1">
        <v>0.625</v>
      </c>
      <c r="CL9" s="1">
        <v>50</v>
      </c>
      <c r="CM9" s="1">
        <v>16.375</v>
      </c>
      <c r="CN9" s="1">
        <v>15</v>
      </c>
      <c r="CO9" s="1">
        <v>91.603053435114504</v>
      </c>
      <c r="CP9" s="1">
        <v>8.375</v>
      </c>
      <c r="CQ9" s="1">
        <v>16.00375</v>
      </c>
      <c r="CR9" s="1">
        <v>3.9200000000000004</v>
      </c>
      <c r="CS9" s="1">
        <v>11.435</v>
      </c>
      <c r="CT9" s="1">
        <v>20.14</v>
      </c>
      <c r="CU9" s="1">
        <v>18.904999999999998</v>
      </c>
      <c r="CV9" s="1">
        <v>8.6912500000000001</v>
      </c>
      <c r="CW9">
        <v>0.875</v>
      </c>
      <c r="CX9">
        <v>1.1937500000000001</v>
      </c>
      <c r="CY9">
        <v>10.625</v>
      </c>
      <c r="CZ9">
        <v>3.125</v>
      </c>
      <c r="DA9">
        <v>29.411764705882355</v>
      </c>
      <c r="DB9">
        <v>340.375</v>
      </c>
      <c r="DC9">
        <v>279</v>
      </c>
      <c r="DD9">
        <v>81.968417186926175</v>
      </c>
      <c r="DE9">
        <v>48.575000000000003</v>
      </c>
      <c r="DF9">
        <v>99.875</v>
      </c>
      <c r="DG9">
        <v>18.375</v>
      </c>
      <c r="DH9">
        <v>41</v>
      </c>
      <c r="DI9">
        <v>40.5</v>
      </c>
      <c r="DJ9">
        <v>72.625</v>
      </c>
      <c r="DK9">
        <v>38.5</v>
      </c>
      <c r="DL9">
        <v>27</v>
      </c>
      <c r="DM9">
        <v>7.125</v>
      </c>
      <c r="DN9">
        <v>178.75</v>
      </c>
      <c r="DO9">
        <v>87.125</v>
      </c>
      <c r="DP9">
        <v>48.74125874125874</v>
      </c>
      <c r="DQ9">
        <v>5.5</v>
      </c>
      <c r="DR9">
        <v>1.5</v>
      </c>
      <c r="DS9">
        <v>27.27272727272727</v>
      </c>
      <c r="DT9">
        <v>22.25</v>
      </c>
      <c r="DU9">
        <v>5.875</v>
      </c>
      <c r="DV9">
        <v>26.40449438202247</v>
      </c>
      <c r="DW9">
        <v>0.625</v>
      </c>
      <c r="DX9">
        <v>0.5</v>
      </c>
      <c r="DY9">
        <v>80</v>
      </c>
      <c r="DZ9">
        <v>27.125</v>
      </c>
      <c r="EA9">
        <v>3.375</v>
      </c>
      <c r="EB9">
        <v>12.442396313364055</v>
      </c>
      <c r="EC9">
        <v>4.75</v>
      </c>
      <c r="ED9">
        <v>1.5</v>
      </c>
      <c r="EE9">
        <v>31.578947368421051</v>
      </c>
      <c r="EF9">
        <v>4.125</v>
      </c>
      <c r="EG9">
        <v>0.625</v>
      </c>
      <c r="EH9">
        <v>15.151515151515152</v>
      </c>
      <c r="EI9">
        <v>0</v>
      </c>
      <c r="EJ9">
        <v>0</v>
      </c>
      <c r="EK9">
        <v>0</v>
      </c>
      <c r="EL9">
        <v>11.375</v>
      </c>
      <c r="EM9">
        <v>4.375</v>
      </c>
      <c r="EN9">
        <v>38.461538461538467</v>
      </c>
      <c r="EO9">
        <v>4.5</v>
      </c>
      <c r="EP9">
        <v>5.125</v>
      </c>
      <c r="EQ9">
        <v>16.375</v>
      </c>
      <c r="ER9">
        <v>1.25</v>
      </c>
      <c r="ES9">
        <v>6.75</v>
      </c>
      <c r="ET9">
        <v>13.125</v>
      </c>
      <c r="EU9">
        <v>61.5</v>
      </c>
      <c r="EV9">
        <v>24.625</v>
      </c>
      <c r="EW9">
        <v>40.040650406504064</v>
      </c>
      <c r="EX9">
        <v>1.625</v>
      </c>
      <c r="EY9">
        <v>60.875</v>
      </c>
      <c r="EZ9">
        <v>38.125</v>
      </c>
      <c r="FA9">
        <v>62.628336755646821</v>
      </c>
      <c r="FB9">
        <v>35.125</v>
      </c>
      <c r="FC9">
        <v>15.375</v>
      </c>
      <c r="FD9">
        <v>43.772241992882563</v>
      </c>
      <c r="FE9">
        <v>3.25</v>
      </c>
      <c r="FF9">
        <v>2.25</v>
      </c>
      <c r="FG9">
        <v>69.230769230769226</v>
      </c>
      <c r="FH9">
        <v>32.5</v>
      </c>
      <c r="FI9">
        <v>14.75</v>
      </c>
      <c r="FJ9">
        <v>13.25</v>
      </c>
      <c r="FK9">
        <v>3.875</v>
      </c>
      <c r="FL9">
        <v>0.5</v>
      </c>
      <c r="FM9">
        <v>126.625</v>
      </c>
      <c r="FN9">
        <v>92.875</v>
      </c>
      <c r="FO9">
        <v>73.346495557749265</v>
      </c>
      <c r="FP9">
        <v>48.875</v>
      </c>
      <c r="FQ9">
        <v>45.625</v>
      </c>
      <c r="FR9">
        <v>93.350383631713555</v>
      </c>
      <c r="FS9">
        <v>110.625</v>
      </c>
      <c r="FT9">
        <v>96.875</v>
      </c>
      <c r="FU9">
        <v>87.570621468926561</v>
      </c>
      <c r="FV9">
        <v>37.625</v>
      </c>
      <c r="FW9">
        <v>18.625</v>
      </c>
      <c r="FX9">
        <v>49.501661129568106</v>
      </c>
      <c r="FY9">
        <v>44</v>
      </c>
      <c r="FZ9">
        <v>27.5</v>
      </c>
      <c r="GA9">
        <v>62.5</v>
      </c>
      <c r="GB9">
        <v>58</v>
      </c>
      <c r="GC9">
        <v>40.125</v>
      </c>
      <c r="GD9">
        <v>69.181034482758619</v>
      </c>
      <c r="GE9">
        <v>1.125</v>
      </c>
      <c r="GF9">
        <v>0.5</v>
      </c>
      <c r="GG9">
        <v>44.444444444444443</v>
      </c>
      <c r="GH9">
        <v>14.625</v>
      </c>
      <c r="GI9">
        <v>13.625</v>
      </c>
      <c r="GJ9">
        <v>93.162393162393158</v>
      </c>
      <c r="GK9">
        <v>8.25</v>
      </c>
      <c r="GL9">
        <v>15.487500000000001</v>
      </c>
      <c r="GM9">
        <v>3.61</v>
      </c>
      <c r="GN9">
        <v>11.572500000000002</v>
      </c>
      <c r="GO9">
        <v>19.59375</v>
      </c>
      <c r="GP9">
        <v>19.205000000000002</v>
      </c>
      <c r="GQ9">
        <v>11.661249999999999</v>
      </c>
      <c r="GR9">
        <f t="shared" si="25"/>
        <v>1.0362500000000001</v>
      </c>
      <c r="GS9">
        <f t="shared" si="26"/>
        <v>1.1937500000000001</v>
      </c>
      <c r="GT9">
        <f t="shared" si="27"/>
        <v>0.11874999999999991</v>
      </c>
      <c r="GU9">
        <f t="shared" si="28"/>
        <v>-0.31875000000000009</v>
      </c>
      <c r="GV9">
        <f t="shared" si="29"/>
        <v>5.125</v>
      </c>
      <c r="GW9">
        <f t="shared" si="30"/>
        <v>5.125</v>
      </c>
      <c r="GX9" s="2">
        <f t="shared" si="31"/>
        <v>0.41556291390728478</v>
      </c>
      <c r="GY9" s="2">
        <f t="shared" si="32"/>
        <v>0.45033112582781459</v>
      </c>
      <c r="GZ9" s="2">
        <f t="shared" si="33"/>
        <v>0.13410596026490065</v>
      </c>
      <c r="HA9">
        <f t="shared" si="34"/>
        <v>9.7311827956989255E-2</v>
      </c>
      <c r="HB9">
        <f t="shared" si="35"/>
        <v>0.1123529411764706</v>
      </c>
    </row>
    <row r="10" spans="1:210" x14ac:dyDescent="0.2">
      <c r="A10" t="s">
        <v>101</v>
      </c>
      <c r="B10">
        <v>1.125</v>
      </c>
      <c r="C10">
        <v>1.1987500000000002</v>
      </c>
      <c r="D10">
        <v>10.625</v>
      </c>
      <c r="E10">
        <v>3.375</v>
      </c>
      <c r="F10">
        <v>31.764705882352938</v>
      </c>
      <c r="G10">
        <v>363.5</v>
      </c>
      <c r="H10">
        <v>302.625</v>
      </c>
      <c r="I10">
        <v>83.253094910591471</v>
      </c>
      <c r="J10">
        <v>52.567499999999995</v>
      </c>
      <c r="K10">
        <v>104.25</v>
      </c>
      <c r="L10">
        <v>18.875</v>
      </c>
      <c r="M10">
        <v>38.375</v>
      </c>
      <c r="N10">
        <v>47</v>
      </c>
      <c r="O10">
        <v>74.625</v>
      </c>
      <c r="P10">
        <v>34</v>
      </c>
      <c r="Q10">
        <v>31.125</v>
      </c>
      <c r="R10">
        <v>9.5</v>
      </c>
      <c r="S10">
        <v>193.75</v>
      </c>
      <c r="T10">
        <v>93.75</v>
      </c>
      <c r="U10">
        <v>48.387096774193552</v>
      </c>
      <c r="V10">
        <v>5</v>
      </c>
      <c r="W10">
        <v>1</v>
      </c>
      <c r="X10">
        <v>20</v>
      </c>
      <c r="Y10">
        <v>25.5</v>
      </c>
      <c r="Z10">
        <v>5.875</v>
      </c>
      <c r="AA10">
        <v>23.03921568627451</v>
      </c>
      <c r="AB10">
        <v>0.625</v>
      </c>
      <c r="AC10">
        <v>0.375</v>
      </c>
      <c r="AD10">
        <v>60</v>
      </c>
      <c r="AE10">
        <v>26.125</v>
      </c>
      <c r="AF10">
        <v>3.625</v>
      </c>
      <c r="AG10">
        <v>13.875598086124402</v>
      </c>
      <c r="AH10">
        <v>3.375</v>
      </c>
      <c r="AI10">
        <v>0.875</v>
      </c>
      <c r="AJ10">
        <v>25.925925925925924</v>
      </c>
      <c r="AK10">
        <v>3.875</v>
      </c>
      <c r="AL10">
        <v>1.125</v>
      </c>
      <c r="AM10">
        <v>29.032258064516132</v>
      </c>
      <c r="AN10">
        <v>0.25</v>
      </c>
      <c r="AO10">
        <v>0.25</v>
      </c>
      <c r="AP10">
        <v>100</v>
      </c>
      <c r="AQ10">
        <v>12.875</v>
      </c>
      <c r="AR10">
        <v>4.75</v>
      </c>
      <c r="AS10">
        <v>36.893203883495147</v>
      </c>
      <c r="AT10">
        <v>4.375</v>
      </c>
      <c r="AU10">
        <v>4.375</v>
      </c>
      <c r="AV10">
        <v>17.25</v>
      </c>
      <c r="AW10">
        <v>3.125</v>
      </c>
      <c r="AX10">
        <v>7.75</v>
      </c>
      <c r="AY10">
        <v>13.5</v>
      </c>
      <c r="AZ10">
        <v>67.5</v>
      </c>
      <c r="BA10">
        <v>25.75</v>
      </c>
      <c r="BB10">
        <v>38.148148148148145</v>
      </c>
      <c r="BC10">
        <v>1.75</v>
      </c>
      <c r="BD10">
        <v>62</v>
      </c>
      <c r="BE10">
        <v>40</v>
      </c>
      <c r="BF10">
        <v>64.516129032258064</v>
      </c>
      <c r="BG10">
        <v>37.75</v>
      </c>
      <c r="BH10">
        <v>19</v>
      </c>
      <c r="BI10">
        <v>50.331125827814574</v>
      </c>
      <c r="BJ10">
        <v>4.75</v>
      </c>
      <c r="BK10">
        <v>2.875</v>
      </c>
      <c r="BL10">
        <v>60.526315789473685</v>
      </c>
      <c r="BM10">
        <v>34</v>
      </c>
      <c r="BN10">
        <v>18.25</v>
      </c>
      <c r="BO10">
        <v>12.625</v>
      </c>
      <c r="BP10">
        <v>3</v>
      </c>
      <c r="BQ10">
        <v>0.375</v>
      </c>
      <c r="BR10">
        <v>133.75</v>
      </c>
      <c r="BS10">
        <v>99.75</v>
      </c>
      <c r="BT10">
        <v>74.579439252336442</v>
      </c>
      <c r="BU10">
        <v>54.75</v>
      </c>
      <c r="BV10">
        <v>52</v>
      </c>
      <c r="BW10">
        <v>94.977168949771681</v>
      </c>
      <c r="BX10">
        <v>113.375</v>
      </c>
      <c r="BY10">
        <v>100.125</v>
      </c>
      <c r="BZ10">
        <v>88.313120176405732</v>
      </c>
      <c r="CA10">
        <v>43.875</v>
      </c>
      <c r="CB10">
        <v>24.5</v>
      </c>
      <c r="CC10">
        <v>55.840455840455839</v>
      </c>
      <c r="CD10">
        <v>52.625</v>
      </c>
      <c r="CE10">
        <v>35.75</v>
      </c>
      <c r="CF10">
        <v>67.933491686460812</v>
      </c>
      <c r="CG10">
        <v>64.375</v>
      </c>
      <c r="CH10">
        <v>48.75</v>
      </c>
      <c r="CI10">
        <v>75.728155339805824</v>
      </c>
      <c r="CJ10">
        <v>0.5</v>
      </c>
      <c r="CK10">
        <v>0</v>
      </c>
      <c r="CL10">
        <v>0</v>
      </c>
      <c r="CM10">
        <v>18.25</v>
      </c>
      <c r="CN10">
        <v>15.125</v>
      </c>
      <c r="CO10">
        <v>82.876712328767127</v>
      </c>
      <c r="CP10">
        <v>8</v>
      </c>
      <c r="CQ10">
        <v>15.313750000000001</v>
      </c>
      <c r="CR10">
        <v>3.6199999999999997</v>
      </c>
      <c r="CS10">
        <v>13.133750000000003</v>
      </c>
      <c r="CT10">
        <v>19.787500000000001</v>
      </c>
      <c r="CU10">
        <v>19.668749999999999</v>
      </c>
      <c r="CV10">
        <v>9.0287500000000005</v>
      </c>
      <c r="CW10">
        <v>1</v>
      </c>
      <c r="CX10">
        <v>1.14625</v>
      </c>
      <c r="CY10">
        <v>11.625</v>
      </c>
      <c r="CZ10">
        <v>4.375</v>
      </c>
      <c r="DA10">
        <v>37.634408602150536</v>
      </c>
      <c r="DB10">
        <v>332.375</v>
      </c>
      <c r="DC10">
        <v>263.875</v>
      </c>
      <c r="DD10">
        <v>79.390748401654747</v>
      </c>
      <c r="DE10">
        <v>47.432500000000005</v>
      </c>
      <c r="DF10">
        <v>102.75</v>
      </c>
      <c r="DG10">
        <v>15</v>
      </c>
      <c r="DH10">
        <v>39.25</v>
      </c>
      <c r="DI10">
        <v>48.5</v>
      </c>
      <c r="DJ10">
        <v>75.25</v>
      </c>
      <c r="DK10">
        <v>33.25</v>
      </c>
      <c r="DL10">
        <v>33.125</v>
      </c>
      <c r="DM10">
        <v>8.875</v>
      </c>
      <c r="DN10">
        <v>193.75</v>
      </c>
      <c r="DO10">
        <v>91.5</v>
      </c>
      <c r="DP10">
        <v>47.225806451612904</v>
      </c>
      <c r="DQ10">
        <v>6.375</v>
      </c>
      <c r="DR10">
        <v>2</v>
      </c>
      <c r="DS10">
        <v>31.372549019607842</v>
      </c>
      <c r="DT10">
        <v>24</v>
      </c>
      <c r="DU10">
        <v>7</v>
      </c>
      <c r="DV10">
        <v>29.166666666666668</v>
      </c>
      <c r="DW10">
        <v>0.75</v>
      </c>
      <c r="DX10">
        <v>0.375</v>
      </c>
      <c r="DY10">
        <v>50</v>
      </c>
      <c r="DZ10">
        <v>25.125</v>
      </c>
      <c r="EA10">
        <v>3.5</v>
      </c>
      <c r="EB10">
        <v>13.930348258706468</v>
      </c>
      <c r="EC10">
        <v>4.125</v>
      </c>
      <c r="ED10">
        <v>1.625</v>
      </c>
      <c r="EE10">
        <v>39.393939393939391</v>
      </c>
      <c r="EF10">
        <v>3.125</v>
      </c>
      <c r="EG10">
        <v>0.75</v>
      </c>
      <c r="EH10">
        <v>24</v>
      </c>
      <c r="EI10">
        <v>0.125</v>
      </c>
      <c r="EJ10">
        <v>0.125</v>
      </c>
      <c r="EK10">
        <v>100</v>
      </c>
      <c r="EL10">
        <v>11.25</v>
      </c>
      <c r="EM10">
        <v>3.25</v>
      </c>
      <c r="EN10">
        <v>28.888888888888886</v>
      </c>
      <c r="EO10">
        <v>3.5</v>
      </c>
      <c r="EP10">
        <v>5</v>
      </c>
      <c r="EQ10">
        <v>19</v>
      </c>
      <c r="ER10">
        <v>3.375</v>
      </c>
      <c r="ES10">
        <v>6.875</v>
      </c>
      <c r="ET10">
        <v>13.625</v>
      </c>
      <c r="EU10">
        <v>62</v>
      </c>
      <c r="EV10">
        <v>22</v>
      </c>
      <c r="EW10">
        <v>35.483870967741936</v>
      </c>
      <c r="EX10">
        <v>2</v>
      </c>
      <c r="EY10">
        <v>67.5</v>
      </c>
      <c r="EZ10">
        <v>41.75</v>
      </c>
      <c r="FA10">
        <v>61.851851851851848</v>
      </c>
      <c r="FB10">
        <v>37.75</v>
      </c>
      <c r="FC10">
        <v>15.25</v>
      </c>
      <c r="FD10">
        <v>40.397350993377486</v>
      </c>
      <c r="FE10">
        <v>4.625</v>
      </c>
      <c r="FF10">
        <v>2.625</v>
      </c>
      <c r="FG10">
        <v>56.756756756756758</v>
      </c>
      <c r="FH10">
        <v>31.75</v>
      </c>
      <c r="FI10">
        <v>15.375</v>
      </c>
      <c r="FJ10">
        <v>14.75</v>
      </c>
      <c r="FK10">
        <v>2.625</v>
      </c>
      <c r="FL10">
        <v>0.375</v>
      </c>
      <c r="FM10">
        <v>126.5</v>
      </c>
      <c r="FN10">
        <v>86.375</v>
      </c>
      <c r="FO10">
        <v>68.280632411067202</v>
      </c>
      <c r="FP10">
        <v>46.375</v>
      </c>
      <c r="FQ10">
        <v>42.75</v>
      </c>
      <c r="FR10">
        <v>92.183288409703508</v>
      </c>
      <c r="FS10">
        <v>106.5</v>
      </c>
      <c r="FT10">
        <v>90.875</v>
      </c>
      <c r="FU10">
        <v>85.328638497652591</v>
      </c>
      <c r="FV10">
        <v>44.625</v>
      </c>
      <c r="FW10">
        <v>20.875</v>
      </c>
      <c r="FX10">
        <v>46.778711484593835</v>
      </c>
      <c r="FY10">
        <v>51.125</v>
      </c>
      <c r="FZ10">
        <v>30.75</v>
      </c>
      <c r="GA10">
        <v>60.146699266503667</v>
      </c>
      <c r="GB10">
        <v>63.375</v>
      </c>
      <c r="GC10">
        <v>44.75</v>
      </c>
      <c r="GD10">
        <v>70.61143984220908</v>
      </c>
      <c r="GE10">
        <v>1</v>
      </c>
      <c r="GF10">
        <v>0.375</v>
      </c>
      <c r="GG10">
        <v>37.5</v>
      </c>
      <c r="GH10">
        <v>20.625</v>
      </c>
      <c r="GI10">
        <v>18.75</v>
      </c>
      <c r="GJ10">
        <v>90.909090909090907</v>
      </c>
      <c r="GK10">
        <v>7.375</v>
      </c>
      <c r="GL10">
        <v>16.012499999999999</v>
      </c>
      <c r="GM10">
        <v>3.34375</v>
      </c>
      <c r="GN10">
        <v>14.13875</v>
      </c>
      <c r="GO10">
        <v>21.972500000000004</v>
      </c>
      <c r="GP10">
        <v>20.229999999999997</v>
      </c>
      <c r="GQ10">
        <v>10.603749999999998</v>
      </c>
      <c r="GR10">
        <f t="shared" si="25"/>
        <v>1.0087500000000003</v>
      </c>
      <c r="GS10">
        <f t="shared" si="26"/>
        <v>1.05125</v>
      </c>
      <c r="GT10">
        <f t="shared" si="27"/>
        <v>-7.3750000000000204E-2</v>
      </c>
      <c r="GU10">
        <f t="shared" si="28"/>
        <v>-0.14624999999999999</v>
      </c>
      <c r="GV10">
        <f t="shared" si="29"/>
        <v>5.625</v>
      </c>
      <c r="GW10">
        <f t="shared" si="30"/>
        <v>5.25</v>
      </c>
      <c r="GX10" s="2">
        <f t="shared" si="31"/>
        <v>0.45561139028475711</v>
      </c>
      <c r="GY10" s="2">
        <f t="shared" si="32"/>
        <v>0.41708542713567837</v>
      </c>
      <c r="GZ10" s="2">
        <f t="shared" si="33"/>
        <v>0.12730318257956449</v>
      </c>
      <c r="HA10">
        <f t="shared" si="34"/>
        <v>0.11282352941176473</v>
      </c>
      <c r="HB10">
        <f t="shared" si="35"/>
        <v>9.8602150537634409E-2</v>
      </c>
    </row>
    <row r="11" spans="1:210" x14ac:dyDescent="0.2">
      <c r="A11" t="s">
        <v>102</v>
      </c>
      <c r="B11">
        <v>1</v>
      </c>
      <c r="C11">
        <v>0.82000000000000017</v>
      </c>
      <c r="D11">
        <v>9.1428571428571423</v>
      </c>
      <c r="E11">
        <v>3.7142857142857144</v>
      </c>
      <c r="F11">
        <v>40.625</v>
      </c>
      <c r="G11">
        <v>333.42857142857144</v>
      </c>
      <c r="H11">
        <v>279.28571428571428</v>
      </c>
      <c r="I11">
        <v>83.761782347900606</v>
      </c>
      <c r="J11">
        <v>40.964285714285715</v>
      </c>
      <c r="K11">
        <v>88</v>
      </c>
      <c r="L11">
        <v>18.571428571428573</v>
      </c>
      <c r="M11">
        <v>39.142857142857146</v>
      </c>
      <c r="N11">
        <v>30.285714285714285</v>
      </c>
      <c r="O11">
        <v>62.714285714285715</v>
      </c>
      <c r="P11">
        <v>33.428571428571431</v>
      </c>
      <c r="Q11">
        <v>24.142857142857142</v>
      </c>
      <c r="R11">
        <v>5.1428571428571432</v>
      </c>
      <c r="S11">
        <v>154.71428571428572</v>
      </c>
      <c r="T11">
        <v>72.285714285714292</v>
      </c>
      <c r="U11">
        <v>46.722068328716524</v>
      </c>
      <c r="V11">
        <v>5.4285714285714288</v>
      </c>
      <c r="W11">
        <v>1.8571428571428572</v>
      </c>
      <c r="X11">
        <v>34.210526315789473</v>
      </c>
      <c r="Y11">
        <v>17.428571428571427</v>
      </c>
      <c r="Z11">
        <v>5.4285714285714288</v>
      </c>
      <c r="AA11">
        <v>31.147540983606557</v>
      </c>
      <c r="AB11">
        <v>1</v>
      </c>
      <c r="AC11">
        <v>0.5714285714285714</v>
      </c>
      <c r="AD11">
        <v>57.142857142857139</v>
      </c>
      <c r="AE11">
        <v>21.142857142857142</v>
      </c>
      <c r="AF11">
        <v>2.4285714285714284</v>
      </c>
      <c r="AG11">
        <v>11.486486486486488</v>
      </c>
      <c r="AH11">
        <v>1.5714285714285714</v>
      </c>
      <c r="AI11">
        <v>0.42857142857142855</v>
      </c>
      <c r="AJ11">
        <v>27.27272727272727</v>
      </c>
      <c r="AK11">
        <v>2.1428571428571428</v>
      </c>
      <c r="AL11">
        <v>0.7142857142857143</v>
      </c>
      <c r="AM11">
        <v>33.333333333333329</v>
      </c>
      <c r="AN11">
        <v>0</v>
      </c>
      <c r="AO11">
        <v>0</v>
      </c>
      <c r="AP11">
        <v>0</v>
      </c>
      <c r="AQ11">
        <v>7.8571428571428568</v>
      </c>
      <c r="AR11">
        <v>2.8571428571428572</v>
      </c>
      <c r="AS11">
        <v>36.363636363636367</v>
      </c>
      <c r="AT11">
        <v>2.7142857142857144</v>
      </c>
      <c r="AU11">
        <v>2.7142857142857144</v>
      </c>
      <c r="AV11">
        <v>14.142857142857142</v>
      </c>
      <c r="AW11">
        <v>0.8571428571428571</v>
      </c>
      <c r="AX11">
        <v>6</v>
      </c>
      <c r="AY11">
        <v>6.8571428571428568</v>
      </c>
      <c r="AZ11">
        <v>43.428571428571431</v>
      </c>
      <c r="BA11">
        <v>14.142857142857142</v>
      </c>
      <c r="BB11">
        <v>32.565789473684212</v>
      </c>
      <c r="BC11">
        <v>2.1428571428571428</v>
      </c>
      <c r="BD11">
        <v>59.428571428571431</v>
      </c>
      <c r="BE11">
        <v>37.857142857142854</v>
      </c>
      <c r="BF11">
        <v>63.701923076923073</v>
      </c>
      <c r="BG11">
        <v>32.428571428571431</v>
      </c>
      <c r="BH11">
        <v>13</v>
      </c>
      <c r="BI11">
        <v>40.08810572687225</v>
      </c>
      <c r="BJ11">
        <v>5.5714285714285712</v>
      </c>
      <c r="BK11">
        <v>3.2857142857142856</v>
      </c>
      <c r="BL11">
        <v>58.974358974358978</v>
      </c>
      <c r="BM11">
        <v>30.857142857142858</v>
      </c>
      <c r="BN11">
        <v>15</v>
      </c>
      <c r="BO11">
        <v>11.428571428571429</v>
      </c>
      <c r="BP11">
        <v>2.5714285714285716</v>
      </c>
      <c r="BQ11">
        <v>0.42857142857142855</v>
      </c>
      <c r="BR11">
        <v>114.71428571428571</v>
      </c>
      <c r="BS11">
        <v>81.285714285714292</v>
      </c>
      <c r="BT11">
        <v>70.859277708592771</v>
      </c>
      <c r="BU11">
        <v>48.571428571428569</v>
      </c>
      <c r="BV11">
        <v>45.571428571428569</v>
      </c>
      <c r="BW11">
        <v>93.82352941176471</v>
      </c>
      <c r="BX11">
        <v>117.71428571428571</v>
      </c>
      <c r="BY11">
        <v>106.42857142857143</v>
      </c>
      <c r="BZ11">
        <v>90.412621359223294</v>
      </c>
      <c r="CA11">
        <v>40.428571428571431</v>
      </c>
      <c r="CB11">
        <v>21.714285714285715</v>
      </c>
      <c r="CC11">
        <v>53.710247349823327</v>
      </c>
      <c r="CD11">
        <v>35.714285714285715</v>
      </c>
      <c r="CE11">
        <v>23</v>
      </c>
      <c r="CF11">
        <v>64.400000000000006</v>
      </c>
      <c r="CG11">
        <v>57</v>
      </c>
      <c r="CH11">
        <v>38.285714285714285</v>
      </c>
      <c r="CI11">
        <v>67.167919799498748</v>
      </c>
      <c r="CJ11">
        <v>0</v>
      </c>
      <c r="CK11">
        <v>0</v>
      </c>
      <c r="CL11">
        <v>0</v>
      </c>
      <c r="CM11">
        <v>15.857142857142858</v>
      </c>
      <c r="CN11">
        <v>11</v>
      </c>
      <c r="CO11">
        <v>69.369369369369366</v>
      </c>
      <c r="CP11">
        <v>8.8571428571428577</v>
      </c>
      <c r="CQ11">
        <v>15.761428571428571</v>
      </c>
      <c r="CR11">
        <v>3.7028571428571433</v>
      </c>
      <c r="CS11">
        <v>12.511428571428571</v>
      </c>
      <c r="CT11">
        <v>22.991428571428571</v>
      </c>
      <c r="CU11">
        <v>20.011428571428574</v>
      </c>
      <c r="CV11">
        <v>15.499999999999998</v>
      </c>
      <c r="CW11" s="1">
        <v>1.5714285714285714</v>
      </c>
      <c r="CX11" s="1">
        <v>1.32</v>
      </c>
      <c r="CY11" s="1">
        <v>14.285714285714286</v>
      </c>
      <c r="CZ11" s="1">
        <v>4.7142857142857144</v>
      </c>
      <c r="DA11" s="1">
        <v>33</v>
      </c>
      <c r="DB11" s="1">
        <v>480.14285714285717</v>
      </c>
      <c r="DC11" s="1">
        <v>420.71428571428572</v>
      </c>
      <c r="DD11" s="1">
        <v>87.622731329961326</v>
      </c>
      <c r="DE11" s="1">
        <v>59.035714285714285</v>
      </c>
      <c r="DF11" s="1">
        <v>88.857142857142861</v>
      </c>
      <c r="DG11" s="1">
        <v>9.7142857142857135</v>
      </c>
      <c r="DH11" s="1">
        <v>32.714285714285715</v>
      </c>
      <c r="DI11" s="1">
        <v>46.428571428571431</v>
      </c>
      <c r="DJ11" s="1">
        <v>67.571428571428569</v>
      </c>
      <c r="DK11" s="1">
        <v>23.857142857142858</v>
      </c>
      <c r="DL11" s="1">
        <v>32.571428571428569</v>
      </c>
      <c r="DM11" s="1">
        <v>11.142857142857142</v>
      </c>
      <c r="DN11" s="1">
        <v>154.71428571428572</v>
      </c>
      <c r="DO11" s="1">
        <v>76.571428571428569</v>
      </c>
      <c r="DP11" s="1">
        <v>49.492151431209599</v>
      </c>
      <c r="DQ11" s="1">
        <v>6.5714285714285712</v>
      </c>
      <c r="DR11" s="1">
        <v>1.5714285714285714</v>
      </c>
      <c r="DS11" s="1">
        <v>23.913043478260871</v>
      </c>
      <c r="DT11" s="1">
        <v>33.285714285714285</v>
      </c>
      <c r="DU11" s="1">
        <v>8.4285714285714288</v>
      </c>
      <c r="DV11" s="1">
        <v>25.321888412017167</v>
      </c>
      <c r="DW11" s="1">
        <v>0.2857142857142857</v>
      </c>
      <c r="DX11" s="1">
        <v>0.14285714285714285</v>
      </c>
      <c r="DY11" s="1">
        <v>50</v>
      </c>
      <c r="DZ11" s="1">
        <v>22.571428571428573</v>
      </c>
      <c r="EA11" s="1">
        <v>4.5714285714285712</v>
      </c>
      <c r="EB11" s="1">
        <v>20.253164556962027</v>
      </c>
      <c r="EC11" s="1">
        <v>4.5714285714285712</v>
      </c>
      <c r="ED11" s="1">
        <v>2</v>
      </c>
      <c r="EE11" s="1">
        <v>43.75</v>
      </c>
      <c r="EF11" s="1">
        <v>3.1428571428571428</v>
      </c>
      <c r="EG11" s="1">
        <v>0.5714285714285714</v>
      </c>
      <c r="EH11" s="1">
        <v>18.181818181818183</v>
      </c>
      <c r="EI11" s="1">
        <v>0.14285714285714285</v>
      </c>
      <c r="EJ11" s="1">
        <v>0.14285714285714285</v>
      </c>
      <c r="EK11" s="1">
        <v>100</v>
      </c>
      <c r="EL11" s="1">
        <v>17.571428571428573</v>
      </c>
      <c r="EM11" s="1">
        <v>5.8571428571428568</v>
      </c>
      <c r="EN11" s="1">
        <v>33.333333333333329</v>
      </c>
      <c r="EO11" s="1">
        <v>5</v>
      </c>
      <c r="EP11" s="1">
        <v>8.7142857142857135</v>
      </c>
      <c r="EQ11" s="1">
        <v>24.714285714285715</v>
      </c>
      <c r="ER11" s="1">
        <v>3.5714285714285716</v>
      </c>
      <c r="ES11" s="1">
        <v>10.142857142857142</v>
      </c>
      <c r="ET11" s="1">
        <v>19.142857142857142</v>
      </c>
      <c r="EU11" s="1">
        <v>59.428571428571431</v>
      </c>
      <c r="EV11" s="1">
        <v>21.571428571428573</v>
      </c>
      <c r="EW11" s="1">
        <v>36.29807692307692</v>
      </c>
      <c r="EX11" s="1">
        <v>0.8571428571428571</v>
      </c>
      <c r="EY11" s="1">
        <v>43.428571428571431</v>
      </c>
      <c r="EZ11" s="1">
        <v>29.285714285714285</v>
      </c>
      <c r="FA11" s="1">
        <v>67.43421052631578</v>
      </c>
      <c r="FB11" s="1">
        <v>32.428571428571431</v>
      </c>
      <c r="FC11" s="1">
        <v>16.428571428571427</v>
      </c>
      <c r="FD11" s="1">
        <v>50.660792951541858</v>
      </c>
      <c r="FE11" s="1">
        <v>3</v>
      </c>
      <c r="FF11" s="1">
        <v>1.8571428571428572</v>
      </c>
      <c r="FG11" s="1">
        <v>61.904761904761905</v>
      </c>
      <c r="FH11" s="1">
        <v>29.571428571428573</v>
      </c>
      <c r="FI11" s="1">
        <v>10</v>
      </c>
      <c r="FJ11" s="1">
        <v>11.142857142857142</v>
      </c>
      <c r="FK11" s="1">
        <v>3</v>
      </c>
      <c r="FL11" s="1">
        <v>0.2857142857142857</v>
      </c>
      <c r="FM11" s="1">
        <v>150.85714285714286</v>
      </c>
      <c r="FN11" s="1">
        <v>121.42857142857143</v>
      </c>
      <c r="FO11" s="1">
        <v>80.492424242424249</v>
      </c>
      <c r="FP11" s="1">
        <v>73.714285714285708</v>
      </c>
      <c r="FQ11" s="1">
        <v>69.571428571428569</v>
      </c>
      <c r="FR11" s="1">
        <v>94.379844961240309</v>
      </c>
      <c r="FS11" s="1">
        <v>185.85714285714286</v>
      </c>
      <c r="FT11" s="1">
        <v>169.42857142857142</v>
      </c>
      <c r="FU11" s="1">
        <v>91.160645657186777</v>
      </c>
      <c r="FV11" s="1">
        <v>41.857142857142854</v>
      </c>
      <c r="FW11" s="1">
        <v>27</v>
      </c>
      <c r="FX11" s="1">
        <v>64.50511945392492</v>
      </c>
      <c r="FY11" s="1">
        <v>63.428571428571431</v>
      </c>
      <c r="FZ11" s="1">
        <v>50.428571428571431</v>
      </c>
      <c r="GA11" s="1">
        <v>79.504504504504496</v>
      </c>
      <c r="GB11" s="1">
        <v>70.714285714285708</v>
      </c>
      <c r="GC11" s="1">
        <v>59.714285714285715</v>
      </c>
      <c r="GD11" s="1">
        <v>84.444444444444443</v>
      </c>
      <c r="GE11" s="1">
        <v>0.42857142857142855</v>
      </c>
      <c r="GF11" s="1">
        <v>0.2857142857142857</v>
      </c>
      <c r="GG11" s="1">
        <v>66.666666666666657</v>
      </c>
      <c r="GH11" s="1">
        <v>16.571428571428573</v>
      </c>
      <c r="GI11" s="1">
        <v>15</v>
      </c>
      <c r="GJ11" s="1">
        <v>90.517241379310349</v>
      </c>
      <c r="GK11" s="1">
        <v>5</v>
      </c>
      <c r="GL11" s="1">
        <v>16.075714285714287</v>
      </c>
      <c r="GM11" s="1">
        <v>5</v>
      </c>
      <c r="GN11" s="1">
        <v>8.8471428571428579</v>
      </c>
      <c r="GO11" s="1">
        <v>19.84714285714286</v>
      </c>
      <c r="GP11" s="1">
        <v>19.298571428571428</v>
      </c>
      <c r="GQ11" s="1">
        <v>9.4</v>
      </c>
      <c r="GR11">
        <f t="shared" si="25"/>
        <v>0.82000000000000017</v>
      </c>
      <c r="GS11">
        <f t="shared" si="26"/>
        <v>1.2114285714285715</v>
      </c>
      <c r="GT11">
        <f t="shared" si="27"/>
        <v>0.17999999999999983</v>
      </c>
      <c r="GU11">
        <f t="shared" si="28"/>
        <v>0.25142857142857133</v>
      </c>
      <c r="GV11">
        <f t="shared" si="29"/>
        <v>3.7142857142857135</v>
      </c>
      <c r="GW11">
        <f t="shared" si="30"/>
        <v>7.7142857142857153</v>
      </c>
      <c r="GX11" s="2">
        <f t="shared" si="31"/>
        <v>0.53302961275626426</v>
      </c>
      <c r="GY11" s="2">
        <f t="shared" si="32"/>
        <v>0.38496583143507973</v>
      </c>
      <c r="GZ11" s="2">
        <f t="shared" si="33"/>
        <v>8.2004555808656038E-2</v>
      </c>
      <c r="HA11">
        <f t="shared" si="34"/>
        <v>8.9687500000000017E-2</v>
      </c>
      <c r="HB11">
        <f t="shared" si="35"/>
        <v>9.2399999999999996E-2</v>
      </c>
    </row>
    <row r="12" spans="1:210" x14ac:dyDescent="0.2">
      <c r="A12" t="s">
        <v>103</v>
      </c>
      <c r="B12">
        <v>1.125</v>
      </c>
      <c r="C12">
        <v>1.48</v>
      </c>
      <c r="D12">
        <v>13.875</v>
      </c>
      <c r="E12">
        <v>4</v>
      </c>
      <c r="F12">
        <v>28.828828828828829</v>
      </c>
      <c r="G12">
        <v>433.875</v>
      </c>
      <c r="H12">
        <v>370.125</v>
      </c>
      <c r="I12">
        <v>85.306828003457213</v>
      </c>
      <c r="J12">
        <v>57.403750000000002</v>
      </c>
      <c r="K12">
        <v>94.75</v>
      </c>
      <c r="L12">
        <v>10.375</v>
      </c>
      <c r="M12">
        <v>28.25</v>
      </c>
      <c r="N12">
        <v>56.125</v>
      </c>
      <c r="O12">
        <v>69.25</v>
      </c>
      <c r="P12">
        <v>24.375</v>
      </c>
      <c r="Q12">
        <v>33.625</v>
      </c>
      <c r="R12">
        <v>11.25</v>
      </c>
      <c r="S12">
        <v>162.25</v>
      </c>
      <c r="T12">
        <v>73.375</v>
      </c>
      <c r="U12">
        <v>45.22342064714946</v>
      </c>
      <c r="V12">
        <v>6.625</v>
      </c>
      <c r="W12">
        <v>0.875</v>
      </c>
      <c r="X12">
        <v>13.20754716981132</v>
      </c>
      <c r="Y12">
        <v>31</v>
      </c>
      <c r="Z12">
        <v>8.375</v>
      </c>
      <c r="AA12">
        <v>27.016129032258064</v>
      </c>
      <c r="AB12">
        <v>1</v>
      </c>
      <c r="AC12">
        <v>0.625</v>
      </c>
      <c r="AD12">
        <v>62.5</v>
      </c>
      <c r="AE12">
        <v>22.5</v>
      </c>
      <c r="AF12">
        <v>3.625</v>
      </c>
      <c r="AG12">
        <v>16.111111111111111</v>
      </c>
      <c r="AH12">
        <v>4.25</v>
      </c>
      <c r="AI12">
        <v>1</v>
      </c>
      <c r="AJ12">
        <v>23.52941176470588</v>
      </c>
      <c r="AK12">
        <v>3</v>
      </c>
      <c r="AL12">
        <v>0.75</v>
      </c>
      <c r="AM12">
        <v>25</v>
      </c>
      <c r="AN12">
        <v>0.375</v>
      </c>
      <c r="AO12">
        <v>0.25</v>
      </c>
      <c r="AP12">
        <v>66.666666666666657</v>
      </c>
      <c r="AQ12">
        <v>17.375</v>
      </c>
      <c r="AR12">
        <v>5.75</v>
      </c>
      <c r="AS12">
        <v>33.093525179856115</v>
      </c>
      <c r="AT12">
        <v>5.875</v>
      </c>
      <c r="AU12">
        <v>8.625</v>
      </c>
      <c r="AV12">
        <v>27.625</v>
      </c>
      <c r="AW12">
        <v>3.125</v>
      </c>
      <c r="AX12">
        <v>10.875</v>
      </c>
      <c r="AY12">
        <v>18</v>
      </c>
      <c r="AZ12">
        <v>60</v>
      </c>
      <c r="BA12">
        <v>20.5</v>
      </c>
      <c r="BB12">
        <v>34.166666666666664</v>
      </c>
      <c r="BC12">
        <v>1.5</v>
      </c>
      <c r="BD12">
        <v>49.875</v>
      </c>
      <c r="BE12">
        <v>30.875</v>
      </c>
      <c r="BF12">
        <v>61.904761904761905</v>
      </c>
      <c r="BG12">
        <v>28.125</v>
      </c>
      <c r="BH12">
        <v>11.875</v>
      </c>
      <c r="BI12">
        <v>42.222222222222221</v>
      </c>
      <c r="BJ12">
        <v>2.125</v>
      </c>
      <c r="BK12">
        <v>1.5</v>
      </c>
      <c r="BL12">
        <v>70.588235294117652</v>
      </c>
      <c r="BM12">
        <v>27.625</v>
      </c>
      <c r="BN12">
        <v>8.625</v>
      </c>
      <c r="BO12">
        <v>10.875</v>
      </c>
      <c r="BP12">
        <v>2.375</v>
      </c>
      <c r="BQ12">
        <v>0.125</v>
      </c>
      <c r="BR12">
        <v>140.625</v>
      </c>
      <c r="BS12">
        <v>108.125</v>
      </c>
      <c r="BT12">
        <v>76.888888888888886</v>
      </c>
      <c r="BU12">
        <v>59</v>
      </c>
      <c r="BV12">
        <v>56.25</v>
      </c>
      <c r="BW12">
        <v>95.33898305084746</v>
      </c>
      <c r="BX12">
        <v>160.625</v>
      </c>
      <c r="BY12">
        <v>141.625</v>
      </c>
      <c r="BZ12">
        <v>88.171206225680933</v>
      </c>
      <c r="CA12">
        <v>39.375</v>
      </c>
      <c r="CB12">
        <v>25</v>
      </c>
      <c r="CC12">
        <v>63.492063492063487</v>
      </c>
      <c r="CD12">
        <v>62.875</v>
      </c>
      <c r="CE12">
        <v>48</v>
      </c>
      <c r="CF12">
        <v>76.341948310139159</v>
      </c>
      <c r="CG12">
        <v>72.125</v>
      </c>
      <c r="CH12">
        <v>58.375</v>
      </c>
      <c r="CI12">
        <v>80.935875216637783</v>
      </c>
      <c r="CJ12">
        <v>1.75</v>
      </c>
      <c r="CK12">
        <v>0.5</v>
      </c>
      <c r="CL12">
        <v>28.571428571428569</v>
      </c>
      <c r="CM12">
        <v>17.25</v>
      </c>
      <c r="CN12">
        <v>16.125</v>
      </c>
      <c r="CO12">
        <v>93.478260869565219</v>
      </c>
      <c r="CP12">
        <v>5.125</v>
      </c>
      <c r="CQ12">
        <v>15.686249999999999</v>
      </c>
      <c r="CR12">
        <v>4.5762499999999999</v>
      </c>
      <c r="CS12">
        <v>9.2725000000000009</v>
      </c>
      <c r="CT12">
        <v>20.203749999999999</v>
      </c>
      <c r="CU12">
        <v>18.841249999999999</v>
      </c>
      <c r="CV12">
        <v>10.352500000000001</v>
      </c>
      <c r="CW12">
        <v>1.5</v>
      </c>
      <c r="CX12">
        <v>1.4125000000000003</v>
      </c>
      <c r="CY12">
        <v>8.5</v>
      </c>
      <c r="CZ12">
        <v>3.375</v>
      </c>
      <c r="DA12">
        <v>39.705882352941174</v>
      </c>
      <c r="DB12">
        <v>328.375</v>
      </c>
      <c r="DC12">
        <v>268.25</v>
      </c>
      <c r="DD12">
        <v>81.690140845070431</v>
      </c>
      <c r="DE12">
        <v>42.596249999999991</v>
      </c>
      <c r="DF12">
        <v>91</v>
      </c>
      <c r="DG12">
        <v>21.875</v>
      </c>
      <c r="DH12">
        <v>37.625</v>
      </c>
      <c r="DI12">
        <v>31.5</v>
      </c>
      <c r="DJ12">
        <v>67.125</v>
      </c>
      <c r="DK12">
        <v>37.875</v>
      </c>
      <c r="DL12">
        <v>23.5</v>
      </c>
      <c r="DM12">
        <v>5.75</v>
      </c>
      <c r="DN12">
        <v>162.25</v>
      </c>
      <c r="DO12">
        <v>80.75</v>
      </c>
      <c r="DP12">
        <v>49.768875192604007</v>
      </c>
      <c r="DQ12">
        <v>3.875</v>
      </c>
      <c r="DR12">
        <v>0.625</v>
      </c>
      <c r="DS12">
        <v>16.129032258064516</v>
      </c>
      <c r="DT12">
        <v>18.625</v>
      </c>
      <c r="DU12">
        <v>5.25</v>
      </c>
      <c r="DV12">
        <v>28.187919463087248</v>
      </c>
      <c r="DW12">
        <v>1</v>
      </c>
      <c r="DX12">
        <v>0.375</v>
      </c>
      <c r="DY12">
        <v>37.5</v>
      </c>
      <c r="DZ12">
        <v>22.375</v>
      </c>
      <c r="EA12">
        <v>2.25</v>
      </c>
      <c r="EB12">
        <v>10.05586592178771</v>
      </c>
      <c r="EC12">
        <v>2.75</v>
      </c>
      <c r="ED12">
        <v>0.875</v>
      </c>
      <c r="EE12">
        <v>31.818181818181817</v>
      </c>
      <c r="EF12">
        <v>1.875</v>
      </c>
      <c r="EG12">
        <v>0.125</v>
      </c>
      <c r="EH12">
        <v>6.666666666666667</v>
      </c>
      <c r="EI12">
        <v>0.5</v>
      </c>
      <c r="EJ12">
        <v>0.25</v>
      </c>
      <c r="EK12">
        <v>50</v>
      </c>
      <c r="EL12">
        <v>9.25</v>
      </c>
      <c r="EM12">
        <v>3.25</v>
      </c>
      <c r="EN12">
        <v>35.135135135135137</v>
      </c>
      <c r="EO12">
        <v>3</v>
      </c>
      <c r="EP12">
        <v>4.375</v>
      </c>
      <c r="EQ12">
        <v>13.75</v>
      </c>
      <c r="ER12">
        <v>1.75</v>
      </c>
      <c r="ES12">
        <v>5.25</v>
      </c>
      <c r="ET12">
        <v>9.5</v>
      </c>
      <c r="EU12">
        <v>49.875</v>
      </c>
      <c r="EV12">
        <v>19</v>
      </c>
      <c r="EW12">
        <v>38.095238095238095</v>
      </c>
      <c r="EX12">
        <v>3</v>
      </c>
      <c r="EY12">
        <v>60</v>
      </c>
      <c r="EZ12">
        <v>39.5</v>
      </c>
      <c r="FA12">
        <v>65.833333333333329</v>
      </c>
      <c r="FB12">
        <v>28.125</v>
      </c>
      <c r="FC12">
        <v>12.25</v>
      </c>
      <c r="FD12">
        <v>43.55555555555555</v>
      </c>
      <c r="FE12">
        <v>3.375</v>
      </c>
      <c r="FF12">
        <v>1.5</v>
      </c>
      <c r="FG12">
        <v>44.444444444444443</v>
      </c>
      <c r="FH12">
        <v>38</v>
      </c>
      <c r="FI12">
        <v>18.5</v>
      </c>
      <c r="FJ12">
        <v>11</v>
      </c>
      <c r="FK12">
        <v>2.5</v>
      </c>
      <c r="FL12">
        <v>0.25</v>
      </c>
      <c r="FM12">
        <v>114</v>
      </c>
      <c r="FN12">
        <v>80.625</v>
      </c>
      <c r="FO12">
        <v>70.723684210526315</v>
      </c>
      <c r="FP12">
        <v>53</v>
      </c>
      <c r="FQ12">
        <v>48.25</v>
      </c>
      <c r="FR12">
        <v>91.037735849056602</v>
      </c>
      <c r="FS12">
        <v>113</v>
      </c>
      <c r="FT12">
        <v>100.125</v>
      </c>
      <c r="FU12">
        <v>88.606194690265482</v>
      </c>
      <c r="FV12">
        <v>41.25</v>
      </c>
      <c r="FW12">
        <v>21.875</v>
      </c>
      <c r="FX12">
        <v>53.030303030303031</v>
      </c>
      <c r="FY12">
        <v>38.25</v>
      </c>
      <c r="FZ12">
        <v>25.75</v>
      </c>
      <c r="GA12">
        <v>67.320261437908499</v>
      </c>
      <c r="GB12">
        <v>58</v>
      </c>
      <c r="GC12">
        <v>38.125</v>
      </c>
      <c r="GD12">
        <v>65.732758620689651</v>
      </c>
      <c r="GE12">
        <v>0.625</v>
      </c>
      <c r="GF12">
        <v>0.375</v>
      </c>
      <c r="GG12">
        <v>60</v>
      </c>
      <c r="GH12">
        <v>12.875</v>
      </c>
      <c r="GI12">
        <v>10.25</v>
      </c>
      <c r="GJ12">
        <v>79.611650485436897</v>
      </c>
      <c r="GK12">
        <v>9.75</v>
      </c>
      <c r="GL12">
        <v>16.236249999999998</v>
      </c>
      <c r="GM12">
        <v>3.6587500000000004</v>
      </c>
      <c r="GN12">
        <v>12.922499999999999</v>
      </c>
      <c r="GO12">
        <v>18.62</v>
      </c>
      <c r="GP12">
        <v>20.158750000000001</v>
      </c>
      <c r="GQ12">
        <v>14.30125</v>
      </c>
      <c r="GR12">
        <f t="shared" si="25"/>
        <v>1.1949999999999998</v>
      </c>
      <c r="GS12">
        <f t="shared" si="26"/>
        <v>1.0325000000000002</v>
      </c>
      <c r="GT12">
        <f t="shared" si="27"/>
        <v>-0.35499999999999998</v>
      </c>
      <c r="GU12">
        <f t="shared" si="28"/>
        <v>8.7499999999999689E-2</v>
      </c>
      <c r="GV12">
        <f t="shared" si="29"/>
        <v>7.25</v>
      </c>
      <c r="GW12">
        <f t="shared" si="30"/>
        <v>4.625</v>
      </c>
      <c r="GX12" s="2">
        <f t="shared" si="31"/>
        <v>0.35198555956678701</v>
      </c>
      <c r="GY12" s="2">
        <f t="shared" si="32"/>
        <v>0.48555956678700363</v>
      </c>
      <c r="GZ12" s="2">
        <f t="shared" si="33"/>
        <v>0.16245487364620939</v>
      </c>
      <c r="HA12">
        <f t="shared" si="34"/>
        <v>0.10666666666666666</v>
      </c>
      <c r="HB12">
        <f t="shared" si="35"/>
        <v>0.16617647058823534</v>
      </c>
    </row>
    <row r="13" spans="1:210" x14ac:dyDescent="0.2">
      <c r="A13" t="s">
        <v>104</v>
      </c>
      <c r="B13">
        <v>1.75</v>
      </c>
      <c r="C13">
        <v>0.97124999999999995</v>
      </c>
      <c r="D13">
        <v>11.875</v>
      </c>
      <c r="E13">
        <v>4.875</v>
      </c>
      <c r="F13">
        <v>41.05263157894737</v>
      </c>
      <c r="G13">
        <v>349.125</v>
      </c>
      <c r="H13">
        <v>292.5</v>
      </c>
      <c r="I13">
        <v>83.780880773361972</v>
      </c>
      <c r="J13">
        <v>46.000000000000007</v>
      </c>
      <c r="K13">
        <v>91.125</v>
      </c>
      <c r="L13">
        <v>17</v>
      </c>
      <c r="M13">
        <v>35.625</v>
      </c>
      <c r="N13">
        <v>38.5</v>
      </c>
      <c r="O13">
        <v>67.75</v>
      </c>
      <c r="P13">
        <v>34</v>
      </c>
      <c r="Q13">
        <v>27</v>
      </c>
      <c r="R13">
        <v>6.75</v>
      </c>
      <c r="S13">
        <v>163.375</v>
      </c>
      <c r="T13">
        <v>76</v>
      </c>
      <c r="U13">
        <v>46.518745218056615</v>
      </c>
      <c r="V13">
        <v>7.125</v>
      </c>
      <c r="W13">
        <v>2.5</v>
      </c>
      <c r="X13">
        <v>35.087719298245609</v>
      </c>
      <c r="Y13">
        <v>25.125</v>
      </c>
      <c r="Z13">
        <v>7.375</v>
      </c>
      <c r="AA13">
        <v>29.35323383084577</v>
      </c>
      <c r="AB13">
        <v>0.875</v>
      </c>
      <c r="AC13">
        <v>0.75</v>
      </c>
      <c r="AD13">
        <v>85.714285714285708</v>
      </c>
      <c r="AE13">
        <v>24.25</v>
      </c>
      <c r="AF13">
        <v>3.125</v>
      </c>
      <c r="AG13">
        <v>12.886597938144329</v>
      </c>
      <c r="AH13">
        <v>4.25</v>
      </c>
      <c r="AI13">
        <v>1.125</v>
      </c>
      <c r="AJ13">
        <v>26.47058823529412</v>
      </c>
      <c r="AK13">
        <v>2.125</v>
      </c>
      <c r="AL13">
        <v>0.625</v>
      </c>
      <c r="AM13">
        <v>29.411764705882355</v>
      </c>
      <c r="AN13">
        <v>0</v>
      </c>
      <c r="AO13">
        <v>0</v>
      </c>
      <c r="AP13">
        <v>0</v>
      </c>
      <c r="AQ13">
        <v>13</v>
      </c>
      <c r="AR13">
        <v>3.625</v>
      </c>
      <c r="AS13">
        <v>27.884615384615387</v>
      </c>
      <c r="AT13">
        <v>4.375</v>
      </c>
      <c r="AU13">
        <v>4.625</v>
      </c>
      <c r="AV13">
        <v>18.25</v>
      </c>
      <c r="AW13">
        <v>2.625</v>
      </c>
      <c r="AX13">
        <v>8.25</v>
      </c>
      <c r="AY13">
        <v>12</v>
      </c>
      <c r="AZ13">
        <v>60.125</v>
      </c>
      <c r="BA13">
        <v>23.5</v>
      </c>
      <c r="BB13">
        <v>39.085239085239088</v>
      </c>
      <c r="BC13">
        <v>1</v>
      </c>
      <c r="BD13">
        <v>55.125</v>
      </c>
      <c r="BE13">
        <v>31.875</v>
      </c>
      <c r="BF13">
        <v>57.823129251700678</v>
      </c>
      <c r="BG13">
        <v>30.125</v>
      </c>
      <c r="BH13">
        <v>13.125</v>
      </c>
      <c r="BI13">
        <v>43.568464730290458</v>
      </c>
      <c r="BJ13">
        <v>3.875</v>
      </c>
      <c r="BK13">
        <v>1.75</v>
      </c>
      <c r="BL13">
        <v>45.161290322580641</v>
      </c>
      <c r="BM13">
        <v>35.375</v>
      </c>
      <c r="BN13">
        <v>15.5</v>
      </c>
      <c r="BO13">
        <v>13.375</v>
      </c>
      <c r="BP13">
        <v>3.625</v>
      </c>
      <c r="BQ13">
        <v>0</v>
      </c>
      <c r="BR13">
        <v>123.5</v>
      </c>
      <c r="BS13">
        <v>94.875</v>
      </c>
      <c r="BT13">
        <v>76.821862348178144</v>
      </c>
      <c r="BU13">
        <v>46.125</v>
      </c>
      <c r="BV13">
        <v>42.875</v>
      </c>
      <c r="BW13">
        <v>92.953929539295387</v>
      </c>
      <c r="BX13">
        <v>124.375</v>
      </c>
      <c r="BY13">
        <v>109.75</v>
      </c>
      <c r="BZ13">
        <v>88.241206030150749</v>
      </c>
      <c r="CA13">
        <v>34.625</v>
      </c>
      <c r="CB13">
        <v>19.125</v>
      </c>
      <c r="CC13">
        <v>55.234657039711188</v>
      </c>
      <c r="CD13">
        <v>44</v>
      </c>
      <c r="CE13">
        <v>32.125</v>
      </c>
      <c r="CF13">
        <v>73.01136363636364</v>
      </c>
      <c r="CG13">
        <v>63.125</v>
      </c>
      <c r="CH13">
        <v>47</v>
      </c>
      <c r="CI13">
        <v>74.455445544554451</v>
      </c>
      <c r="CJ13">
        <v>0.625</v>
      </c>
      <c r="CK13">
        <v>0.375</v>
      </c>
      <c r="CL13">
        <v>60</v>
      </c>
      <c r="CM13">
        <v>15.375</v>
      </c>
      <c r="CN13">
        <v>14</v>
      </c>
      <c r="CO13">
        <v>91.056910569105682</v>
      </c>
      <c r="CP13">
        <v>7.875</v>
      </c>
      <c r="CQ13">
        <v>15.5825</v>
      </c>
      <c r="CR13">
        <v>3.6862500000000002</v>
      </c>
      <c r="CS13">
        <v>10.75625</v>
      </c>
      <c r="CT13">
        <v>22.336249999999996</v>
      </c>
      <c r="CU13">
        <v>19.44875</v>
      </c>
      <c r="CV13">
        <v>14.28375</v>
      </c>
      <c r="CW13">
        <v>1.5</v>
      </c>
      <c r="CX13">
        <v>1.1724999999999999</v>
      </c>
      <c r="CY13">
        <v>11.375</v>
      </c>
      <c r="CZ13">
        <v>4.125</v>
      </c>
      <c r="DA13">
        <v>36.263736263736263</v>
      </c>
      <c r="DB13">
        <v>413.125</v>
      </c>
      <c r="DC13">
        <v>354.125</v>
      </c>
      <c r="DD13">
        <v>85.718608169440245</v>
      </c>
      <c r="DE13">
        <v>53.999999999999993</v>
      </c>
      <c r="DF13">
        <v>93.375</v>
      </c>
      <c r="DG13">
        <v>12.375</v>
      </c>
      <c r="DH13">
        <v>33.875</v>
      </c>
      <c r="DI13">
        <v>47.125</v>
      </c>
      <c r="DJ13">
        <v>68.5</v>
      </c>
      <c r="DK13">
        <v>31.625</v>
      </c>
      <c r="DL13">
        <v>29.375</v>
      </c>
      <c r="DM13">
        <v>7.5</v>
      </c>
      <c r="DN13">
        <v>163.375</v>
      </c>
      <c r="DO13">
        <v>80.5</v>
      </c>
      <c r="DP13">
        <v>49.273144605967865</v>
      </c>
      <c r="DQ13">
        <v>6.75</v>
      </c>
      <c r="DR13">
        <v>1.75</v>
      </c>
      <c r="DS13">
        <v>25.925925925925924</v>
      </c>
      <c r="DT13">
        <v>26.5</v>
      </c>
      <c r="DU13">
        <v>6.875</v>
      </c>
      <c r="DV13">
        <v>25.943396226415093</v>
      </c>
      <c r="DW13">
        <v>0</v>
      </c>
      <c r="DX13">
        <v>0</v>
      </c>
      <c r="DY13">
        <v>0</v>
      </c>
      <c r="DZ13">
        <v>27.5</v>
      </c>
      <c r="EA13">
        <v>3.375</v>
      </c>
      <c r="EB13">
        <v>12.272727272727273</v>
      </c>
      <c r="EC13">
        <v>4.375</v>
      </c>
      <c r="ED13">
        <v>1.75</v>
      </c>
      <c r="EE13">
        <v>40</v>
      </c>
      <c r="EF13">
        <v>3.25</v>
      </c>
      <c r="EG13">
        <v>0.5</v>
      </c>
      <c r="EH13">
        <v>15.384615384615385</v>
      </c>
      <c r="EI13">
        <v>0.25</v>
      </c>
      <c r="EJ13">
        <v>0.25</v>
      </c>
      <c r="EK13">
        <v>100</v>
      </c>
      <c r="EL13">
        <v>11.125</v>
      </c>
      <c r="EM13">
        <v>4.625</v>
      </c>
      <c r="EN13">
        <v>41.573033707865171</v>
      </c>
      <c r="EO13">
        <v>4.5</v>
      </c>
      <c r="EP13">
        <v>7.375</v>
      </c>
      <c r="EQ13">
        <v>20.625</v>
      </c>
      <c r="ER13">
        <v>2.75</v>
      </c>
      <c r="ES13">
        <v>6.5</v>
      </c>
      <c r="ET13">
        <v>11.375</v>
      </c>
      <c r="EU13">
        <v>55.125</v>
      </c>
      <c r="EV13">
        <v>23.25</v>
      </c>
      <c r="EW13">
        <v>42.176870748299322</v>
      </c>
      <c r="EX13">
        <v>2</v>
      </c>
      <c r="EY13">
        <v>60.125</v>
      </c>
      <c r="EZ13">
        <v>36.625</v>
      </c>
      <c r="FA13">
        <v>60.914760914760912</v>
      </c>
      <c r="FB13">
        <v>30.125</v>
      </c>
      <c r="FC13">
        <v>13.75</v>
      </c>
      <c r="FD13">
        <v>45.643153526970956</v>
      </c>
      <c r="FE13">
        <v>2.5</v>
      </c>
      <c r="FF13">
        <v>1.25</v>
      </c>
      <c r="FG13">
        <v>50</v>
      </c>
      <c r="FH13">
        <v>29.5</v>
      </c>
      <c r="FI13">
        <v>10.875</v>
      </c>
      <c r="FJ13">
        <v>11.625</v>
      </c>
      <c r="FK13">
        <v>1.75</v>
      </c>
      <c r="FL13">
        <v>0.25</v>
      </c>
      <c r="FM13">
        <v>142.125</v>
      </c>
      <c r="FN13">
        <v>109.375</v>
      </c>
      <c r="FO13">
        <v>76.956904133685128</v>
      </c>
      <c r="FP13">
        <v>56.25</v>
      </c>
      <c r="FQ13">
        <v>52.625</v>
      </c>
      <c r="FR13">
        <v>93.555555555555557</v>
      </c>
      <c r="FS13">
        <v>155.5</v>
      </c>
      <c r="FT13">
        <v>143.125</v>
      </c>
      <c r="FU13">
        <v>92.041800643086816</v>
      </c>
      <c r="FV13">
        <v>44.875</v>
      </c>
      <c r="FW13">
        <v>26.25</v>
      </c>
      <c r="FX13">
        <v>58.495821727019504</v>
      </c>
      <c r="FY13">
        <v>52.875</v>
      </c>
      <c r="FZ13">
        <v>36.875</v>
      </c>
      <c r="GA13">
        <v>69.739952718676122</v>
      </c>
      <c r="GB13">
        <v>67.75</v>
      </c>
      <c r="GC13">
        <v>54.125</v>
      </c>
      <c r="GD13">
        <v>79.889298892988919</v>
      </c>
      <c r="GE13">
        <v>0.75</v>
      </c>
      <c r="GF13">
        <v>0.375</v>
      </c>
      <c r="GG13">
        <v>50</v>
      </c>
      <c r="GH13">
        <v>16</v>
      </c>
      <c r="GI13">
        <v>14.25</v>
      </c>
      <c r="GJ13">
        <v>89.0625</v>
      </c>
      <c r="GK13">
        <v>9.375</v>
      </c>
      <c r="GL13">
        <v>15.922499999999999</v>
      </c>
      <c r="GM13">
        <v>4.3337500000000002</v>
      </c>
      <c r="GN13">
        <v>11.206249999999999</v>
      </c>
      <c r="GO13">
        <v>20.634999999999998</v>
      </c>
      <c r="GP13">
        <v>19.722499999999997</v>
      </c>
      <c r="GQ13">
        <v>11.4625</v>
      </c>
      <c r="GR13">
        <f t="shared" si="25"/>
        <v>0.97124999999999995</v>
      </c>
      <c r="GS13">
        <f t="shared" si="26"/>
        <v>0.98249999999999993</v>
      </c>
      <c r="GT13">
        <f t="shared" si="27"/>
        <v>0.77875000000000005</v>
      </c>
      <c r="GU13">
        <f t="shared" si="28"/>
        <v>0.32750000000000012</v>
      </c>
      <c r="GV13">
        <f t="shared" si="29"/>
        <v>4.75</v>
      </c>
      <c r="GW13">
        <f t="shared" si="30"/>
        <v>4.625</v>
      </c>
      <c r="GX13" s="2">
        <f t="shared" si="31"/>
        <v>0.50184501845018448</v>
      </c>
      <c r="GY13" s="2">
        <f t="shared" si="32"/>
        <v>0.39852398523985239</v>
      </c>
      <c r="GZ13" s="2">
        <f t="shared" si="33"/>
        <v>9.9630996309963096E-2</v>
      </c>
      <c r="HA13">
        <f t="shared" si="34"/>
        <v>8.1789473684210523E-2</v>
      </c>
      <c r="HB13">
        <f t="shared" si="35"/>
        <v>0.10307692307692307</v>
      </c>
    </row>
    <row r="14" spans="1:210" x14ac:dyDescent="0.2">
      <c r="A14" t="s">
        <v>105</v>
      </c>
      <c r="B14">
        <v>1.1428571428571428</v>
      </c>
      <c r="C14">
        <v>0.75857142857142867</v>
      </c>
      <c r="D14">
        <v>6.1428571428571432</v>
      </c>
      <c r="E14">
        <v>2.7142857142857144</v>
      </c>
      <c r="F14">
        <v>44.186046511627907</v>
      </c>
      <c r="G14">
        <v>344.85714285714283</v>
      </c>
      <c r="H14">
        <v>285.28571428571428</v>
      </c>
      <c r="I14">
        <v>82.725766362883178</v>
      </c>
      <c r="J14">
        <v>45.871428571428574</v>
      </c>
      <c r="K14">
        <v>98.428571428571431</v>
      </c>
      <c r="L14">
        <v>25</v>
      </c>
      <c r="M14">
        <v>35.428571428571431</v>
      </c>
      <c r="N14">
        <v>38</v>
      </c>
      <c r="O14">
        <v>66.857142857142861</v>
      </c>
      <c r="P14">
        <v>37.857142857142854</v>
      </c>
      <c r="Q14">
        <v>23</v>
      </c>
      <c r="R14">
        <v>6</v>
      </c>
      <c r="S14">
        <v>166.28571428571428</v>
      </c>
      <c r="T14">
        <v>81.285714285714292</v>
      </c>
      <c r="U14">
        <v>48.883161512027492</v>
      </c>
      <c r="V14">
        <v>3.1428571428571428</v>
      </c>
      <c r="W14">
        <v>0.8571428571428571</v>
      </c>
      <c r="X14">
        <v>27.27272727272727</v>
      </c>
      <c r="Y14">
        <v>17.142857142857142</v>
      </c>
      <c r="Z14">
        <v>4</v>
      </c>
      <c r="AA14">
        <v>23.333333333333332</v>
      </c>
      <c r="AB14">
        <v>0.5714285714285714</v>
      </c>
      <c r="AC14">
        <v>0.14285714285714285</v>
      </c>
      <c r="AD14">
        <v>25</v>
      </c>
      <c r="AE14">
        <v>24.857142857142858</v>
      </c>
      <c r="AF14">
        <v>1.5714285714285714</v>
      </c>
      <c r="AG14">
        <v>6.3218390804597711</v>
      </c>
      <c r="AH14">
        <v>2.4285714285714284</v>
      </c>
      <c r="AI14">
        <v>0.7142857142857143</v>
      </c>
      <c r="AJ14">
        <v>29.411764705882355</v>
      </c>
      <c r="AK14">
        <v>2.7142857142857144</v>
      </c>
      <c r="AL14">
        <v>0.42857142857142855</v>
      </c>
      <c r="AM14">
        <v>15.789473684210526</v>
      </c>
      <c r="AN14">
        <v>0</v>
      </c>
      <c r="AO14">
        <v>0</v>
      </c>
      <c r="AP14">
        <v>0</v>
      </c>
      <c r="AQ14">
        <v>9.4285714285714288</v>
      </c>
      <c r="AR14">
        <v>2.8571428571428572</v>
      </c>
      <c r="AS14">
        <v>30.303030303030305</v>
      </c>
      <c r="AT14">
        <v>3.1428571428571428</v>
      </c>
      <c r="AU14">
        <v>2.5714285714285716</v>
      </c>
      <c r="AV14">
        <v>13.285714285714286</v>
      </c>
      <c r="AW14">
        <v>1.1428571428571428</v>
      </c>
      <c r="AX14">
        <v>6.8571428571428568</v>
      </c>
      <c r="AY14">
        <v>6.7142857142857144</v>
      </c>
      <c r="AZ14">
        <v>55.714285714285715</v>
      </c>
      <c r="BA14">
        <v>21.428571428571427</v>
      </c>
      <c r="BB14">
        <v>38.461538461538467</v>
      </c>
      <c r="BC14">
        <v>2.7142857142857144</v>
      </c>
      <c r="BD14">
        <v>60</v>
      </c>
      <c r="BE14">
        <v>36.571428571428569</v>
      </c>
      <c r="BF14">
        <v>60.952380952380956</v>
      </c>
      <c r="BG14">
        <v>33</v>
      </c>
      <c r="BH14">
        <v>15.571428571428571</v>
      </c>
      <c r="BI14">
        <v>47.186147186147188</v>
      </c>
      <c r="BJ14">
        <v>2.2857142857142856</v>
      </c>
      <c r="BK14">
        <v>1.1428571428571428</v>
      </c>
      <c r="BL14">
        <v>50</v>
      </c>
      <c r="BM14">
        <v>39.142857142857146</v>
      </c>
      <c r="BN14">
        <v>16.142857142857142</v>
      </c>
      <c r="BO14">
        <v>10.714285714285714</v>
      </c>
      <c r="BP14">
        <v>3.8571428571428572</v>
      </c>
      <c r="BQ14">
        <v>0.2857142857142857</v>
      </c>
      <c r="BR14">
        <v>123.71428571428571</v>
      </c>
      <c r="BS14">
        <v>89.857142857142861</v>
      </c>
      <c r="BT14">
        <v>72.632794457274827</v>
      </c>
      <c r="BU14">
        <v>62.142857142857146</v>
      </c>
      <c r="BV14">
        <v>59.285714285714285</v>
      </c>
      <c r="BW14">
        <v>95.402298850574709</v>
      </c>
      <c r="BX14">
        <v>110.14285714285714</v>
      </c>
      <c r="BY14">
        <v>95.857142857142861</v>
      </c>
      <c r="BZ14">
        <v>87.029831387808045</v>
      </c>
      <c r="CA14">
        <v>49.857142857142854</v>
      </c>
      <c r="CB14">
        <v>27.142857142857142</v>
      </c>
      <c r="CC14">
        <v>54.441260744985676</v>
      </c>
      <c r="CD14">
        <v>39.142857142857146</v>
      </c>
      <c r="CE14">
        <v>25.142857142857142</v>
      </c>
      <c r="CF14">
        <v>64.233576642335763</v>
      </c>
      <c r="CG14">
        <v>58.857142857142854</v>
      </c>
      <c r="CH14">
        <v>38.857142857142854</v>
      </c>
      <c r="CI14">
        <v>66.019417475728162</v>
      </c>
      <c r="CJ14">
        <v>0.2857142857142857</v>
      </c>
      <c r="CK14">
        <v>0.14285714285714285</v>
      </c>
      <c r="CL14">
        <v>50</v>
      </c>
      <c r="CM14">
        <v>12.571428571428571</v>
      </c>
      <c r="CN14">
        <v>10.285714285714286</v>
      </c>
      <c r="CO14">
        <v>81.818181818181827</v>
      </c>
      <c r="CP14">
        <v>8.2857142857142865</v>
      </c>
      <c r="CQ14">
        <v>15.332857142857142</v>
      </c>
      <c r="CR14">
        <v>3.7557142857142858</v>
      </c>
      <c r="CS14">
        <v>15.065714285714288</v>
      </c>
      <c r="CT14">
        <v>20.874285714285715</v>
      </c>
      <c r="CU14">
        <v>20.015714285714289</v>
      </c>
      <c r="CV14">
        <v>14.834285714285716</v>
      </c>
      <c r="CW14">
        <v>1.8571428571428572</v>
      </c>
      <c r="CX14">
        <v>1.7728571428571427</v>
      </c>
      <c r="CY14">
        <v>15.428571428571429</v>
      </c>
      <c r="CZ14">
        <v>5.7142857142857144</v>
      </c>
      <c r="DA14">
        <v>37.037037037037038</v>
      </c>
      <c r="DB14">
        <v>435.42857142857144</v>
      </c>
      <c r="DC14">
        <v>371.14285714285717</v>
      </c>
      <c r="DD14">
        <v>85.236220472440948</v>
      </c>
      <c r="DE14">
        <v>54.128571428571426</v>
      </c>
      <c r="DF14">
        <v>93.571428571428569</v>
      </c>
      <c r="DG14">
        <v>10.857142857142858</v>
      </c>
      <c r="DH14">
        <v>29.428571428571427</v>
      </c>
      <c r="DI14">
        <v>53.285714285714285</v>
      </c>
      <c r="DJ14">
        <v>75.428571428571431</v>
      </c>
      <c r="DK14">
        <v>27.857142857142858</v>
      </c>
      <c r="DL14">
        <v>32.714285714285715</v>
      </c>
      <c r="DM14">
        <v>14.857142857142858</v>
      </c>
      <c r="DN14">
        <v>166.28571428571428</v>
      </c>
      <c r="DO14">
        <v>79.285714285714292</v>
      </c>
      <c r="DP14">
        <v>47.680412371134025</v>
      </c>
      <c r="DQ14">
        <v>8</v>
      </c>
      <c r="DR14">
        <v>2.5714285714285716</v>
      </c>
      <c r="DS14">
        <v>32.142857142857146</v>
      </c>
      <c r="DT14">
        <v>35.571428571428569</v>
      </c>
      <c r="DU14">
        <v>10.428571428571429</v>
      </c>
      <c r="DV14">
        <v>29.317269076305219</v>
      </c>
      <c r="DW14">
        <v>0.42857142857142855</v>
      </c>
      <c r="DX14">
        <v>0.2857142857142857</v>
      </c>
      <c r="DY14">
        <v>66.666666666666657</v>
      </c>
      <c r="DZ14">
        <v>23.714285714285715</v>
      </c>
      <c r="EA14">
        <v>3.1428571428571428</v>
      </c>
      <c r="EB14">
        <v>13.253012048192772</v>
      </c>
      <c r="EC14">
        <v>5.7142857142857144</v>
      </c>
      <c r="ED14">
        <v>1.8571428571428572</v>
      </c>
      <c r="EE14">
        <v>32.5</v>
      </c>
      <c r="EF14">
        <v>3.8571428571428572</v>
      </c>
      <c r="EG14">
        <v>0.42857142857142855</v>
      </c>
      <c r="EH14">
        <v>11.111111111111111</v>
      </c>
      <c r="EI14">
        <v>0.14285714285714285</v>
      </c>
      <c r="EJ14">
        <v>0.14285714285714285</v>
      </c>
      <c r="EK14">
        <v>100</v>
      </c>
      <c r="EL14">
        <v>16.714285714285715</v>
      </c>
      <c r="EM14">
        <v>6.2857142857142856</v>
      </c>
      <c r="EN14">
        <v>37.606837606837608</v>
      </c>
      <c r="EO14">
        <v>6</v>
      </c>
      <c r="EP14">
        <v>10.428571428571429</v>
      </c>
      <c r="EQ14">
        <v>28</v>
      </c>
      <c r="ER14">
        <v>3.5714285714285716</v>
      </c>
      <c r="ES14">
        <v>10.571428571428571</v>
      </c>
      <c r="ET14">
        <v>20.571428571428573</v>
      </c>
      <c r="EU14">
        <v>60</v>
      </c>
      <c r="EV14">
        <v>23.428571428571427</v>
      </c>
      <c r="EW14">
        <v>39.047619047619051</v>
      </c>
      <c r="EX14">
        <v>1.1428571428571428</v>
      </c>
      <c r="EY14">
        <v>55.714285714285715</v>
      </c>
      <c r="EZ14">
        <v>34.285714285714285</v>
      </c>
      <c r="FA14">
        <v>61.53846153846154</v>
      </c>
      <c r="FB14">
        <v>33</v>
      </c>
      <c r="FC14">
        <v>14</v>
      </c>
      <c r="FD14">
        <v>42.424242424242422</v>
      </c>
      <c r="FE14">
        <v>3.2857142857142856</v>
      </c>
      <c r="FF14">
        <v>1.2857142857142858</v>
      </c>
      <c r="FG14">
        <v>39.130434782608695</v>
      </c>
      <c r="FH14">
        <v>25.857142857142858</v>
      </c>
      <c r="FI14">
        <v>9.2857142857142865</v>
      </c>
      <c r="FJ14">
        <v>14.285714285714286</v>
      </c>
      <c r="FK14">
        <v>2.7142857142857144</v>
      </c>
      <c r="FL14">
        <v>0.14285714285714285</v>
      </c>
      <c r="FM14">
        <v>145</v>
      </c>
      <c r="FN14">
        <v>114.85714285714286</v>
      </c>
      <c r="FO14">
        <v>79.21182266009852</v>
      </c>
      <c r="FP14">
        <v>54.571428571428569</v>
      </c>
      <c r="FQ14">
        <v>50.285714285714285</v>
      </c>
      <c r="FR14">
        <v>92.146596858638745</v>
      </c>
      <c r="FS14">
        <v>161.14285714285714</v>
      </c>
      <c r="FT14">
        <v>144.14285714285714</v>
      </c>
      <c r="FU14">
        <v>89.450354609929079</v>
      </c>
      <c r="FV14">
        <v>35</v>
      </c>
      <c r="FW14">
        <v>20.428571428571427</v>
      </c>
      <c r="FX14">
        <v>58.367346938775512</v>
      </c>
      <c r="FY14">
        <v>58.857142857142854</v>
      </c>
      <c r="FZ14">
        <v>46.571428571428569</v>
      </c>
      <c r="GA14">
        <v>79.126213592233015</v>
      </c>
      <c r="GB14">
        <v>69.714285714285708</v>
      </c>
      <c r="GC14">
        <v>56.857142857142854</v>
      </c>
      <c r="GD14">
        <v>81.557377049180317</v>
      </c>
      <c r="GE14">
        <v>1.2857142857142858</v>
      </c>
      <c r="GF14">
        <v>0.7142857142857143</v>
      </c>
      <c r="GG14">
        <v>55.555555555555557</v>
      </c>
      <c r="GH14">
        <v>12.857142857142858</v>
      </c>
      <c r="GI14">
        <v>11.571428571428571</v>
      </c>
      <c r="GJ14">
        <v>90</v>
      </c>
      <c r="GK14">
        <v>4.8571428571428568</v>
      </c>
      <c r="GL14">
        <v>16.567142857142859</v>
      </c>
      <c r="GM14">
        <v>4.758571428571428</v>
      </c>
      <c r="GN14">
        <v>8.5185714285714287</v>
      </c>
      <c r="GO14">
        <v>20.689999999999998</v>
      </c>
      <c r="GP14">
        <v>17.927142857142858</v>
      </c>
      <c r="GQ14">
        <v>10.705714285714285</v>
      </c>
      <c r="GR14">
        <f t="shared" si="25"/>
        <v>0.75857142857142867</v>
      </c>
      <c r="GS14">
        <f t="shared" si="26"/>
        <v>1.6642857142857141</v>
      </c>
      <c r="GT14">
        <f t="shared" si="27"/>
        <v>0.38428571428571412</v>
      </c>
      <c r="GU14">
        <f t="shared" si="28"/>
        <v>8.4285714285714519E-2</v>
      </c>
      <c r="GV14">
        <f t="shared" si="29"/>
        <v>3.0000000000000004</v>
      </c>
      <c r="GW14">
        <f t="shared" si="30"/>
        <v>7.4285714285714288</v>
      </c>
      <c r="GX14" s="2">
        <f t="shared" si="31"/>
        <v>0.56623931623931612</v>
      </c>
      <c r="GY14" s="2">
        <f t="shared" si="32"/>
        <v>0.34401709401709402</v>
      </c>
      <c r="GZ14" s="2">
        <f t="shared" si="33"/>
        <v>8.9743589743589744E-2</v>
      </c>
      <c r="HA14">
        <f t="shared" si="34"/>
        <v>0.12348837209302327</v>
      </c>
      <c r="HB14">
        <f t="shared" si="35"/>
        <v>0.11490740740740739</v>
      </c>
    </row>
    <row r="15" spans="1:210" x14ac:dyDescent="0.2">
      <c r="A15" t="s">
        <v>106</v>
      </c>
      <c r="B15">
        <v>1.7142857142857142</v>
      </c>
      <c r="C15">
        <v>1.5971428571428572</v>
      </c>
      <c r="D15">
        <v>14.857142857142858</v>
      </c>
      <c r="E15">
        <v>5.4285714285714288</v>
      </c>
      <c r="F15">
        <v>36.538461538461533</v>
      </c>
      <c r="G15">
        <v>456.14285714285717</v>
      </c>
      <c r="H15">
        <v>386.71428571428572</v>
      </c>
      <c r="I15">
        <v>84.779204509865338</v>
      </c>
      <c r="J15">
        <v>56.19714285714285</v>
      </c>
      <c r="K15">
        <v>94.571428571428569</v>
      </c>
      <c r="L15">
        <v>12.285714285714286</v>
      </c>
      <c r="M15">
        <v>29.714285714285715</v>
      </c>
      <c r="N15">
        <v>52.571428571428569</v>
      </c>
      <c r="O15">
        <v>70</v>
      </c>
      <c r="P15">
        <v>26.142857142857142</v>
      </c>
      <c r="Q15">
        <v>30</v>
      </c>
      <c r="R15">
        <v>13.857142857142858</v>
      </c>
      <c r="S15">
        <v>168.14285714285714</v>
      </c>
      <c r="T15">
        <v>80.857142857142861</v>
      </c>
      <c r="U15">
        <v>48.08836023789295</v>
      </c>
      <c r="V15">
        <v>7</v>
      </c>
      <c r="W15">
        <v>1.5714285714285714</v>
      </c>
      <c r="X15">
        <v>22.448979591836736</v>
      </c>
      <c r="Y15">
        <v>35.428571428571431</v>
      </c>
      <c r="Z15">
        <v>8.5714285714285712</v>
      </c>
      <c r="AA15">
        <v>24.193548387096776</v>
      </c>
      <c r="AB15">
        <v>1.4285714285714286</v>
      </c>
      <c r="AC15">
        <v>0.2857142857142857</v>
      </c>
      <c r="AD15">
        <v>20</v>
      </c>
      <c r="AE15">
        <v>24.428571428571427</v>
      </c>
      <c r="AF15">
        <v>3.8571428571428572</v>
      </c>
      <c r="AG15">
        <v>15.789473684210526</v>
      </c>
      <c r="AH15">
        <v>5.1428571428571432</v>
      </c>
      <c r="AI15">
        <v>2</v>
      </c>
      <c r="AJ15">
        <v>38.888888888888893</v>
      </c>
      <c r="AK15">
        <v>3.4285714285714284</v>
      </c>
      <c r="AL15">
        <v>0.5714285714285714</v>
      </c>
      <c r="AM15">
        <v>16.666666666666664</v>
      </c>
      <c r="AN15">
        <v>0.5714285714285714</v>
      </c>
      <c r="AO15">
        <v>0.5714285714285714</v>
      </c>
      <c r="AP15">
        <v>100</v>
      </c>
      <c r="AQ15">
        <v>14.142857142857142</v>
      </c>
      <c r="AR15">
        <v>3.1428571428571428</v>
      </c>
      <c r="AS15">
        <v>22.222222222222221</v>
      </c>
      <c r="AT15">
        <v>2.5714285714285716</v>
      </c>
      <c r="AU15">
        <v>11.571428571428571</v>
      </c>
      <c r="AV15">
        <v>25.714285714285715</v>
      </c>
      <c r="AW15">
        <v>4.5714285714285712</v>
      </c>
      <c r="AX15">
        <v>7</v>
      </c>
      <c r="AY15">
        <v>21.714285714285715</v>
      </c>
      <c r="AZ15">
        <v>66.857142857142861</v>
      </c>
      <c r="BA15">
        <v>23.571428571428573</v>
      </c>
      <c r="BB15">
        <v>35.256410256410255</v>
      </c>
      <c r="BC15">
        <v>1.4285714285714286</v>
      </c>
      <c r="BD15">
        <v>57.142857142857146</v>
      </c>
      <c r="BE15">
        <v>36.714285714285715</v>
      </c>
      <c r="BF15">
        <v>64.25</v>
      </c>
      <c r="BG15">
        <v>21.428571428571427</v>
      </c>
      <c r="BH15">
        <v>7.7142857142857144</v>
      </c>
      <c r="BI15">
        <v>36</v>
      </c>
      <c r="BJ15">
        <v>2.8571428571428572</v>
      </c>
      <c r="BK15">
        <v>1.5714285714285714</v>
      </c>
      <c r="BL15">
        <v>55.000000000000007</v>
      </c>
      <c r="BM15">
        <v>30.142857142857142</v>
      </c>
      <c r="BN15">
        <v>10.857142857142858</v>
      </c>
      <c r="BO15">
        <v>11.285714285714286</v>
      </c>
      <c r="BP15">
        <v>2.8571428571428572</v>
      </c>
      <c r="BQ15">
        <v>0</v>
      </c>
      <c r="BR15">
        <v>153.85714285714286</v>
      </c>
      <c r="BS15">
        <v>120.71428571428571</v>
      </c>
      <c r="BT15">
        <v>78.458681522748378</v>
      </c>
      <c r="BU15">
        <v>68.714285714285708</v>
      </c>
      <c r="BV15">
        <v>65.285714285714292</v>
      </c>
      <c r="BW15">
        <v>95.010395010395015</v>
      </c>
      <c r="BX15">
        <v>148.14285714285714</v>
      </c>
      <c r="BY15">
        <v>129.14285714285714</v>
      </c>
      <c r="BZ15">
        <v>87.174541947926713</v>
      </c>
      <c r="CA15">
        <v>37</v>
      </c>
      <c r="CB15">
        <v>21.428571428571427</v>
      </c>
      <c r="CC15">
        <v>57.915057915057908</v>
      </c>
      <c r="CD15">
        <v>62.428571428571431</v>
      </c>
      <c r="CE15">
        <v>46.571428571428569</v>
      </c>
      <c r="CF15">
        <v>74.599542334096114</v>
      </c>
      <c r="CG15">
        <v>68.285714285714292</v>
      </c>
      <c r="CH15">
        <v>53.571428571428569</v>
      </c>
      <c r="CI15">
        <v>78.45188284518828</v>
      </c>
      <c r="CJ15">
        <v>1.7142857142857142</v>
      </c>
      <c r="CK15">
        <v>0.8571428571428571</v>
      </c>
      <c r="CL15">
        <v>50</v>
      </c>
      <c r="CM15">
        <v>20</v>
      </c>
      <c r="CN15">
        <v>18.571428571428573</v>
      </c>
      <c r="CO15">
        <v>92.857142857142861</v>
      </c>
      <c r="CP15">
        <v>7.5714285714285712</v>
      </c>
      <c r="CQ15">
        <v>17.438571428571429</v>
      </c>
      <c r="CR15">
        <v>4.5042857142857144</v>
      </c>
      <c r="CS15">
        <v>8.2900000000000009</v>
      </c>
      <c r="CT15">
        <v>20.650000000000002</v>
      </c>
      <c r="CU15">
        <v>18.05857142857143</v>
      </c>
      <c r="CV15">
        <v>10.768571428571429</v>
      </c>
      <c r="CW15">
        <v>1.4285714285714286</v>
      </c>
      <c r="CX15">
        <v>1.1800000000000002</v>
      </c>
      <c r="CY15">
        <v>11.428571428571429</v>
      </c>
      <c r="CZ15">
        <v>4.2857142857142856</v>
      </c>
      <c r="DA15">
        <v>37.5</v>
      </c>
      <c r="DB15">
        <v>333.85714285714283</v>
      </c>
      <c r="DC15">
        <v>274.28571428571428</v>
      </c>
      <c r="DD15">
        <v>82.156611039794612</v>
      </c>
      <c r="DE15">
        <v>43.802857142857142</v>
      </c>
      <c r="DF15">
        <v>94.428571428571431</v>
      </c>
      <c r="DG15">
        <v>24.571428571428573</v>
      </c>
      <c r="DH15">
        <v>32.428571428571431</v>
      </c>
      <c r="DI15">
        <v>37.428571428571431</v>
      </c>
      <c r="DJ15">
        <v>65.285714285714292</v>
      </c>
      <c r="DK15">
        <v>34.857142857142854</v>
      </c>
      <c r="DL15">
        <v>23.714285714285715</v>
      </c>
      <c r="DM15">
        <v>6.7142857142857144</v>
      </c>
      <c r="DN15">
        <v>168.14285714285714</v>
      </c>
      <c r="DO15">
        <v>82.285714285714292</v>
      </c>
      <c r="DP15">
        <v>48.937977909940528</v>
      </c>
      <c r="DQ15">
        <v>5.5714285714285712</v>
      </c>
      <c r="DR15">
        <v>1.1428571428571428</v>
      </c>
      <c r="DS15">
        <v>20.512820512820511</v>
      </c>
      <c r="DT15">
        <v>21.857142857142858</v>
      </c>
      <c r="DU15">
        <v>7</v>
      </c>
      <c r="DV15">
        <v>32.026143790849673</v>
      </c>
      <c r="DW15">
        <v>1.1428571428571428</v>
      </c>
      <c r="DX15">
        <v>0.5714285714285714</v>
      </c>
      <c r="DY15">
        <v>50</v>
      </c>
      <c r="DZ15">
        <v>23</v>
      </c>
      <c r="EA15">
        <v>3</v>
      </c>
      <c r="EB15">
        <v>13.043478260869565</v>
      </c>
      <c r="EC15">
        <v>3.1428571428571428</v>
      </c>
      <c r="ED15">
        <v>0.8571428571428571</v>
      </c>
      <c r="EE15">
        <v>27.27272727272727</v>
      </c>
      <c r="EF15">
        <v>2.5714285714285716</v>
      </c>
      <c r="EG15">
        <v>0.8571428571428571</v>
      </c>
      <c r="EH15">
        <v>33.333333333333329</v>
      </c>
      <c r="EI15">
        <v>0</v>
      </c>
      <c r="EJ15">
        <v>0</v>
      </c>
      <c r="EK15">
        <v>0</v>
      </c>
      <c r="EL15">
        <v>8.2857142857142865</v>
      </c>
      <c r="EM15">
        <v>2.7142857142857144</v>
      </c>
      <c r="EN15">
        <v>32.758620689655174</v>
      </c>
      <c r="EO15">
        <v>2.2857142857142856</v>
      </c>
      <c r="EP15">
        <v>5.4285714285714288</v>
      </c>
      <c r="EQ15">
        <v>15.857142857142858</v>
      </c>
      <c r="ER15">
        <v>2.7142857142857144</v>
      </c>
      <c r="ES15">
        <v>5.2857142857142856</v>
      </c>
      <c r="ET15">
        <v>12.285714285714286</v>
      </c>
      <c r="EU15">
        <v>57.142857142857146</v>
      </c>
      <c r="EV15">
        <v>20.428571428571427</v>
      </c>
      <c r="EW15">
        <v>35.75</v>
      </c>
      <c r="EX15">
        <v>1.2857142857142858</v>
      </c>
      <c r="EY15">
        <v>66.857142857142861</v>
      </c>
      <c r="EZ15">
        <v>43.285714285714285</v>
      </c>
      <c r="FA15">
        <v>64.743589743589752</v>
      </c>
      <c r="FB15">
        <v>21.428571428571427</v>
      </c>
      <c r="FC15">
        <v>10.714285714285714</v>
      </c>
      <c r="FD15">
        <v>50</v>
      </c>
      <c r="FE15">
        <v>4</v>
      </c>
      <c r="FF15">
        <v>2.1428571428571428</v>
      </c>
      <c r="FG15">
        <v>53.571428571428569</v>
      </c>
      <c r="FH15">
        <v>40</v>
      </c>
      <c r="FI15">
        <v>18</v>
      </c>
      <c r="FJ15">
        <v>12.428571428571429</v>
      </c>
      <c r="FK15">
        <v>3.1428571428571428</v>
      </c>
      <c r="FL15">
        <v>0.5714285714285714</v>
      </c>
      <c r="FM15">
        <v>124.42857142857143</v>
      </c>
      <c r="FN15">
        <v>89.428571428571431</v>
      </c>
      <c r="FO15">
        <v>71.871412169919637</v>
      </c>
      <c r="FP15">
        <v>48</v>
      </c>
      <c r="FQ15">
        <v>44.285714285714285</v>
      </c>
      <c r="FR15">
        <v>92.261904761904773</v>
      </c>
      <c r="FS15">
        <v>103.85714285714286</v>
      </c>
      <c r="FT15">
        <v>91.428571428571431</v>
      </c>
      <c r="FU15">
        <v>88.033012379642358</v>
      </c>
      <c r="FV15">
        <v>36.285714285714285</v>
      </c>
      <c r="FW15">
        <v>18.571428571428573</v>
      </c>
      <c r="FX15">
        <v>51.181102362204726</v>
      </c>
      <c r="FY15">
        <v>39.571428571428569</v>
      </c>
      <c r="FZ15">
        <v>27.142857142857142</v>
      </c>
      <c r="GA15">
        <v>68.592057761732846</v>
      </c>
      <c r="GB15">
        <v>58.714285714285715</v>
      </c>
      <c r="GC15">
        <v>36.571428571428569</v>
      </c>
      <c r="GD15">
        <v>62.287104622871048</v>
      </c>
      <c r="GE15">
        <v>1.4285714285714286</v>
      </c>
      <c r="GF15">
        <v>0.7142857142857143</v>
      </c>
      <c r="GG15">
        <v>50</v>
      </c>
      <c r="GH15">
        <v>19.857142857142858</v>
      </c>
      <c r="GI15">
        <v>16.428571428571427</v>
      </c>
      <c r="GJ15">
        <v>82.733812949640281</v>
      </c>
      <c r="GK15">
        <v>9</v>
      </c>
      <c r="GL15">
        <v>16.494285714285716</v>
      </c>
      <c r="GM15">
        <v>3.4428571428571426</v>
      </c>
      <c r="GN15">
        <v>11.044285714285715</v>
      </c>
      <c r="GO15">
        <v>20.507142857142856</v>
      </c>
      <c r="GP15">
        <v>18.522857142857141</v>
      </c>
      <c r="GQ15">
        <v>12.202857142857143</v>
      </c>
      <c r="GR15">
        <f t="shared" si="25"/>
        <v>1.1628571428571428</v>
      </c>
      <c r="GS15">
        <f t="shared" si="26"/>
        <v>1.1800000000000002</v>
      </c>
      <c r="GT15">
        <f t="shared" si="27"/>
        <v>0.11714285714285699</v>
      </c>
      <c r="GU15">
        <f t="shared" si="28"/>
        <v>0.24857142857142844</v>
      </c>
      <c r="GV15">
        <f t="shared" si="29"/>
        <v>7.8571428571428577</v>
      </c>
      <c r="GW15">
        <f t="shared" si="30"/>
        <v>5.8571428571428577</v>
      </c>
      <c r="GX15" s="2">
        <f t="shared" si="31"/>
        <v>0.37346938775510202</v>
      </c>
      <c r="GY15" s="2">
        <f t="shared" si="32"/>
        <v>0.42857142857142855</v>
      </c>
      <c r="GZ15" s="2">
        <f t="shared" si="33"/>
        <v>0.1979591836734694</v>
      </c>
      <c r="HA15">
        <f t="shared" si="34"/>
        <v>0.1075</v>
      </c>
      <c r="HB15">
        <f t="shared" si="35"/>
        <v>0.10325000000000001</v>
      </c>
    </row>
    <row r="16" spans="1:210" x14ac:dyDescent="0.2">
      <c r="A16" t="s">
        <v>107</v>
      </c>
      <c r="B16">
        <v>1.125</v>
      </c>
      <c r="C16">
        <v>1.17</v>
      </c>
      <c r="D16">
        <v>9.125</v>
      </c>
      <c r="E16">
        <v>3.375</v>
      </c>
      <c r="F16">
        <v>36.986301369863014</v>
      </c>
      <c r="G16">
        <v>358.625</v>
      </c>
      <c r="H16">
        <v>292.625</v>
      </c>
      <c r="I16">
        <v>81.596375043569196</v>
      </c>
      <c r="J16">
        <v>50.298749999999998</v>
      </c>
      <c r="K16">
        <v>103</v>
      </c>
      <c r="L16">
        <v>23.75</v>
      </c>
      <c r="M16">
        <v>37.375</v>
      </c>
      <c r="N16">
        <v>41.875</v>
      </c>
      <c r="O16">
        <v>73.75</v>
      </c>
      <c r="P16">
        <v>37.125</v>
      </c>
      <c r="Q16">
        <v>28.375</v>
      </c>
      <c r="R16">
        <v>8.25</v>
      </c>
      <c r="S16">
        <v>173.125</v>
      </c>
      <c r="T16">
        <v>81</v>
      </c>
      <c r="U16">
        <v>46.7870036101083</v>
      </c>
      <c r="V16">
        <v>4.25</v>
      </c>
      <c r="W16">
        <v>0.75</v>
      </c>
      <c r="X16">
        <v>17.647058823529413</v>
      </c>
      <c r="Y16">
        <v>25.375</v>
      </c>
      <c r="Z16">
        <v>5.375</v>
      </c>
      <c r="AA16">
        <v>21.182266009852217</v>
      </c>
      <c r="AB16">
        <v>0.375</v>
      </c>
      <c r="AC16">
        <v>0.125</v>
      </c>
      <c r="AD16">
        <v>33.333333333333329</v>
      </c>
      <c r="AE16">
        <v>25.125</v>
      </c>
      <c r="AF16">
        <v>2.75</v>
      </c>
      <c r="AG16">
        <v>10.945273631840797</v>
      </c>
      <c r="AH16">
        <v>4.875</v>
      </c>
      <c r="AI16">
        <v>1.875</v>
      </c>
      <c r="AJ16">
        <v>38.461538461538467</v>
      </c>
      <c r="AK16">
        <v>2.25</v>
      </c>
      <c r="AL16">
        <v>0.375</v>
      </c>
      <c r="AM16">
        <v>16.666666666666664</v>
      </c>
      <c r="AN16">
        <v>0.5</v>
      </c>
      <c r="AO16">
        <v>0.375</v>
      </c>
      <c r="AP16">
        <v>75</v>
      </c>
      <c r="AQ16">
        <v>14.25</v>
      </c>
      <c r="AR16">
        <v>4.375</v>
      </c>
      <c r="AS16">
        <v>30.701754385964914</v>
      </c>
      <c r="AT16">
        <v>4.5</v>
      </c>
      <c r="AU16">
        <v>4.125</v>
      </c>
      <c r="AV16">
        <v>19.625</v>
      </c>
      <c r="AW16">
        <v>2</v>
      </c>
      <c r="AX16">
        <v>8.125</v>
      </c>
      <c r="AY16">
        <v>11.5</v>
      </c>
      <c r="AZ16">
        <v>59.125</v>
      </c>
      <c r="BA16">
        <v>21.625</v>
      </c>
      <c r="BB16">
        <v>36.575052854122617</v>
      </c>
      <c r="BC16">
        <v>1.625</v>
      </c>
      <c r="BD16">
        <v>52.125</v>
      </c>
      <c r="BE16">
        <v>33</v>
      </c>
      <c r="BF16">
        <v>63.309352517985609</v>
      </c>
      <c r="BG16">
        <v>40</v>
      </c>
      <c r="BH16">
        <v>17.25</v>
      </c>
      <c r="BI16">
        <v>43.125</v>
      </c>
      <c r="BJ16">
        <v>5.5</v>
      </c>
      <c r="BK16">
        <v>3.5</v>
      </c>
      <c r="BL16">
        <v>63.636363636363633</v>
      </c>
      <c r="BM16">
        <v>40.5</v>
      </c>
      <c r="BN16">
        <v>22.625</v>
      </c>
      <c r="BO16">
        <v>9.25</v>
      </c>
      <c r="BP16">
        <v>2.625</v>
      </c>
      <c r="BQ16">
        <v>0.375</v>
      </c>
      <c r="BR16">
        <v>123.375</v>
      </c>
      <c r="BS16">
        <v>87.75</v>
      </c>
      <c r="BT16">
        <v>71.124620060790278</v>
      </c>
      <c r="BU16">
        <v>49</v>
      </c>
      <c r="BV16">
        <v>45.625</v>
      </c>
      <c r="BW16">
        <v>93.112244897959187</v>
      </c>
      <c r="BX16">
        <v>137.125</v>
      </c>
      <c r="BY16">
        <v>122.375</v>
      </c>
      <c r="BZ16">
        <v>89.243391066545115</v>
      </c>
      <c r="CA16">
        <v>43.125</v>
      </c>
      <c r="CB16">
        <v>23.625</v>
      </c>
      <c r="CC16">
        <v>54.782608695652172</v>
      </c>
      <c r="CD16">
        <v>46</v>
      </c>
      <c r="CE16">
        <v>32.5</v>
      </c>
      <c r="CF16">
        <v>70.652173913043484</v>
      </c>
      <c r="CG16">
        <v>65.625</v>
      </c>
      <c r="CH16">
        <v>44.125</v>
      </c>
      <c r="CI16">
        <v>67.238095238095241</v>
      </c>
      <c r="CJ16">
        <v>0.875</v>
      </c>
      <c r="CK16">
        <v>0.125</v>
      </c>
      <c r="CL16">
        <v>14.285714285714285</v>
      </c>
      <c r="CM16">
        <v>18.625</v>
      </c>
      <c r="CN16">
        <v>16.25</v>
      </c>
      <c r="CO16">
        <v>87.24832214765101</v>
      </c>
      <c r="CP16">
        <v>7.75</v>
      </c>
      <c r="CQ16">
        <v>15.25</v>
      </c>
      <c r="CR16">
        <v>3.6750000000000003</v>
      </c>
      <c r="CS16">
        <v>12.555</v>
      </c>
      <c r="CT16">
        <v>19.563749999999999</v>
      </c>
      <c r="CU16">
        <v>20.65625</v>
      </c>
      <c r="CV16">
        <v>13.145000000000001</v>
      </c>
      <c r="CW16">
        <v>1</v>
      </c>
      <c r="CX16">
        <v>1.4937499999999999</v>
      </c>
      <c r="CY16">
        <v>11.875</v>
      </c>
      <c r="CZ16">
        <v>4.25</v>
      </c>
      <c r="DA16">
        <v>35.789473684210527</v>
      </c>
      <c r="DB16">
        <v>376.5</v>
      </c>
      <c r="DC16">
        <v>308.875</v>
      </c>
      <c r="DD16">
        <v>82.038512616201871</v>
      </c>
      <c r="DE16">
        <v>49.701250000000002</v>
      </c>
      <c r="DF16">
        <v>101.125</v>
      </c>
      <c r="DG16">
        <v>15.875</v>
      </c>
      <c r="DH16">
        <v>34.625</v>
      </c>
      <c r="DI16">
        <v>50.625</v>
      </c>
      <c r="DJ16">
        <v>74.625</v>
      </c>
      <c r="DK16">
        <v>30.625</v>
      </c>
      <c r="DL16">
        <v>30.75</v>
      </c>
      <c r="DM16">
        <v>13.25</v>
      </c>
      <c r="DN16">
        <v>173.125</v>
      </c>
      <c r="DO16">
        <v>82.875</v>
      </c>
      <c r="DP16">
        <v>47.870036101083031</v>
      </c>
      <c r="DQ16">
        <v>4.875</v>
      </c>
      <c r="DR16">
        <v>0.625</v>
      </c>
      <c r="DS16">
        <v>12.820512820512819</v>
      </c>
      <c r="DT16">
        <v>27.375</v>
      </c>
      <c r="DU16">
        <v>7.875</v>
      </c>
      <c r="DV16">
        <v>28.767123287671232</v>
      </c>
      <c r="DW16">
        <v>1.375</v>
      </c>
      <c r="DX16">
        <v>0.625</v>
      </c>
      <c r="DY16">
        <v>45.454545454545453</v>
      </c>
      <c r="DZ16">
        <v>22.625</v>
      </c>
      <c r="EA16">
        <v>2.5</v>
      </c>
      <c r="EB16">
        <v>11.049723756906078</v>
      </c>
      <c r="EC16">
        <v>5.5</v>
      </c>
      <c r="ED16">
        <v>1</v>
      </c>
      <c r="EE16">
        <v>18.181818181818183</v>
      </c>
      <c r="EF16">
        <v>2</v>
      </c>
      <c r="EG16">
        <v>0.25</v>
      </c>
      <c r="EH16">
        <v>12.5</v>
      </c>
      <c r="EI16">
        <v>0.25</v>
      </c>
      <c r="EJ16">
        <v>0.125</v>
      </c>
      <c r="EK16">
        <v>50</v>
      </c>
      <c r="EL16">
        <v>15.875</v>
      </c>
      <c r="EM16">
        <v>5.375</v>
      </c>
      <c r="EN16">
        <v>33.858267716535437</v>
      </c>
      <c r="EO16">
        <v>5.5</v>
      </c>
      <c r="EP16">
        <v>8.125</v>
      </c>
      <c r="EQ16">
        <v>23.875</v>
      </c>
      <c r="ER16">
        <v>3.25</v>
      </c>
      <c r="ES16">
        <v>10.125</v>
      </c>
      <c r="ET16">
        <v>17.25</v>
      </c>
      <c r="EU16">
        <v>52.125</v>
      </c>
      <c r="EV16">
        <v>19.125</v>
      </c>
      <c r="EW16">
        <v>36.690647482014391</v>
      </c>
      <c r="EX16">
        <v>2.125</v>
      </c>
      <c r="EY16">
        <v>59.125</v>
      </c>
      <c r="EZ16">
        <v>37.5</v>
      </c>
      <c r="FA16">
        <v>63.424947145877375</v>
      </c>
      <c r="FB16">
        <v>40</v>
      </c>
      <c r="FC16">
        <v>17.5</v>
      </c>
      <c r="FD16">
        <v>43.75</v>
      </c>
      <c r="FE16">
        <v>2.875</v>
      </c>
      <c r="FF16">
        <v>1.875</v>
      </c>
      <c r="FG16">
        <v>65.217391304347828</v>
      </c>
      <c r="FH16">
        <v>34.125</v>
      </c>
      <c r="FI16">
        <v>15.875</v>
      </c>
      <c r="FJ16">
        <v>12.875</v>
      </c>
      <c r="FK16">
        <v>3.125</v>
      </c>
      <c r="FL16">
        <v>0.25</v>
      </c>
      <c r="FM16">
        <v>127.375</v>
      </c>
      <c r="FN16">
        <v>92</v>
      </c>
      <c r="FO16">
        <v>72.227674190382729</v>
      </c>
      <c r="FP16">
        <v>51.875</v>
      </c>
      <c r="FQ16">
        <v>49.125</v>
      </c>
      <c r="FR16">
        <v>94.698795180722897</v>
      </c>
      <c r="FS16">
        <v>135.75</v>
      </c>
      <c r="FT16">
        <v>119.25</v>
      </c>
      <c r="FU16">
        <v>87.845303867403317</v>
      </c>
      <c r="FV16">
        <v>40.5</v>
      </c>
      <c r="FW16">
        <v>22.625</v>
      </c>
      <c r="FX16">
        <v>55.864197530864203</v>
      </c>
      <c r="FY16">
        <v>50.375</v>
      </c>
      <c r="FZ16">
        <v>34.875</v>
      </c>
      <c r="GA16">
        <v>69.230769230769226</v>
      </c>
      <c r="GB16">
        <v>62.5</v>
      </c>
      <c r="GC16">
        <v>45.75</v>
      </c>
      <c r="GD16">
        <v>73.2</v>
      </c>
      <c r="GE16">
        <v>0.875</v>
      </c>
      <c r="GF16">
        <v>0.25</v>
      </c>
      <c r="GG16">
        <v>28.571428571428569</v>
      </c>
      <c r="GH16">
        <v>17.875</v>
      </c>
      <c r="GI16">
        <v>15</v>
      </c>
      <c r="GJ16">
        <v>83.91608391608392</v>
      </c>
      <c r="GK16">
        <v>7.625</v>
      </c>
      <c r="GL16">
        <v>16</v>
      </c>
      <c r="GM16">
        <v>4.0474999999999994</v>
      </c>
      <c r="GN16">
        <v>12.023750000000001</v>
      </c>
      <c r="GO16">
        <v>19.260000000000002</v>
      </c>
      <c r="GP16">
        <v>19.739999999999998</v>
      </c>
      <c r="GQ16">
        <v>9.1787500000000009</v>
      </c>
      <c r="GR16">
        <f t="shared" si="25"/>
        <v>0.78999999999999992</v>
      </c>
      <c r="GS16">
        <f t="shared" si="26"/>
        <v>1.30375</v>
      </c>
      <c r="GT16">
        <f t="shared" si="27"/>
        <v>-4.4999999999999929E-2</v>
      </c>
      <c r="GU16">
        <f t="shared" si="28"/>
        <v>-0.49374999999999991</v>
      </c>
      <c r="GV16">
        <f t="shared" si="29"/>
        <v>4.875</v>
      </c>
      <c r="GW16">
        <f t="shared" si="30"/>
        <v>7</v>
      </c>
      <c r="GX16" s="2">
        <f t="shared" si="31"/>
        <v>0.50338983050847452</v>
      </c>
      <c r="GY16" s="2">
        <f t="shared" si="32"/>
        <v>0.38474576271186439</v>
      </c>
      <c r="GZ16" s="2">
        <f t="shared" si="33"/>
        <v>0.11186440677966102</v>
      </c>
      <c r="HA16">
        <f t="shared" si="34"/>
        <v>0.12821917808219177</v>
      </c>
      <c r="HB16">
        <f t="shared" si="35"/>
        <v>0.12578947368421051</v>
      </c>
    </row>
    <row r="17" spans="1:210" x14ac:dyDescent="0.2">
      <c r="A17" t="s">
        <v>108</v>
      </c>
      <c r="B17">
        <v>1.25</v>
      </c>
      <c r="C17">
        <v>1.5774999999999999</v>
      </c>
      <c r="D17">
        <v>15.375</v>
      </c>
      <c r="E17">
        <v>5.375</v>
      </c>
      <c r="F17">
        <v>34.959349593495936</v>
      </c>
      <c r="G17">
        <v>372.75</v>
      </c>
      <c r="H17">
        <v>312</v>
      </c>
      <c r="I17">
        <v>83.702213279678077</v>
      </c>
      <c r="J17">
        <v>53.671250000000001</v>
      </c>
      <c r="K17">
        <v>97.75</v>
      </c>
      <c r="L17">
        <v>15.625</v>
      </c>
      <c r="M17">
        <v>32.375</v>
      </c>
      <c r="N17">
        <v>49.75</v>
      </c>
      <c r="O17">
        <v>76.375</v>
      </c>
      <c r="P17">
        <v>31</v>
      </c>
      <c r="Q17">
        <v>33</v>
      </c>
      <c r="R17">
        <v>12.375</v>
      </c>
      <c r="S17">
        <v>177.125</v>
      </c>
      <c r="T17">
        <v>88.75</v>
      </c>
      <c r="U17">
        <v>50.105857445306988</v>
      </c>
      <c r="V17">
        <v>8.125</v>
      </c>
      <c r="W17">
        <v>2.375</v>
      </c>
      <c r="X17">
        <v>29.230769230769234</v>
      </c>
      <c r="Y17">
        <v>29.375</v>
      </c>
      <c r="Z17">
        <v>9.25</v>
      </c>
      <c r="AA17">
        <v>31.48936170212766</v>
      </c>
      <c r="AB17">
        <v>1.25</v>
      </c>
      <c r="AC17">
        <v>0.75</v>
      </c>
      <c r="AD17">
        <v>60</v>
      </c>
      <c r="AE17">
        <v>25.25</v>
      </c>
      <c r="AF17">
        <v>4</v>
      </c>
      <c r="AG17">
        <v>15.841584158415841</v>
      </c>
      <c r="AH17">
        <v>5.125</v>
      </c>
      <c r="AI17">
        <v>1.5</v>
      </c>
      <c r="AJ17">
        <v>29.268292682926827</v>
      </c>
      <c r="AK17">
        <v>5.125</v>
      </c>
      <c r="AL17">
        <v>0.75</v>
      </c>
      <c r="AM17">
        <v>14.634146341463413</v>
      </c>
      <c r="AN17">
        <v>0.125</v>
      </c>
      <c r="AO17">
        <v>0.125</v>
      </c>
      <c r="AP17">
        <v>100</v>
      </c>
      <c r="AQ17">
        <v>14.375</v>
      </c>
      <c r="AR17">
        <v>4.25</v>
      </c>
      <c r="AS17">
        <v>29.565217391304348</v>
      </c>
      <c r="AT17">
        <v>4.125</v>
      </c>
      <c r="AU17">
        <v>9.125</v>
      </c>
      <c r="AV17">
        <v>24.25</v>
      </c>
      <c r="AW17">
        <v>5</v>
      </c>
      <c r="AX17">
        <v>7.375</v>
      </c>
      <c r="AY17">
        <v>18.625</v>
      </c>
      <c r="AZ17">
        <v>63.875</v>
      </c>
      <c r="BA17">
        <v>26.75</v>
      </c>
      <c r="BB17">
        <v>41.878669275929546</v>
      </c>
      <c r="BC17">
        <v>1</v>
      </c>
      <c r="BD17">
        <v>55.5</v>
      </c>
      <c r="BE17">
        <v>36.5</v>
      </c>
      <c r="BF17">
        <v>65.765765765765778</v>
      </c>
      <c r="BG17">
        <v>37.5</v>
      </c>
      <c r="BH17">
        <v>16.125</v>
      </c>
      <c r="BI17">
        <v>43</v>
      </c>
      <c r="BJ17">
        <v>1.625</v>
      </c>
      <c r="BK17">
        <v>0.875</v>
      </c>
      <c r="BL17">
        <v>53.846153846153847</v>
      </c>
      <c r="BM17">
        <v>32</v>
      </c>
      <c r="BN17">
        <v>14.5</v>
      </c>
      <c r="BO17">
        <v>13</v>
      </c>
      <c r="BP17">
        <v>2.625</v>
      </c>
      <c r="BQ17">
        <v>0.25</v>
      </c>
      <c r="BR17">
        <v>121.75</v>
      </c>
      <c r="BS17">
        <v>91.625</v>
      </c>
      <c r="BT17">
        <v>75.256673511293641</v>
      </c>
      <c r="BU17">
        <v>57</v>
      </c>
      <c r="BV17">
        <v>53.375</v>
      </c>
      <c r="BW17">
        <v>93.640350877192986</v>
      </c>
      <c r="BX17">
        <v>132.75</v>
      </c>
      <c r="BY17">
        <v>117.75</v>
      </c>
      <c r="BZ17">
        <v>88.700564971751419</v>
      </c>
      <c r="CA17">
        <v>37.5</v>
      </c>
      <c r="CB17">
        <v>20.625</v>
      </c>
      <c r="CC17">
        <v>55.000000000000007</v>
      </c>
      <c r="CD17">
        <v>52.25</v>
      </c>
      <c r="CE17">
        <v>38.375</v>
      </c>
      <c r="CF17">
        <v>73.444976076555022</v>
      </c>
      <c r="CG17">
        <v>63.375</v>
      </c>
      <c r="CH17">
        <v>49.25</v>
      </c>
      <c r="CI17">
        <v>77.712031558185402</v>
      </c>
      <c r="CJ17">
        <v>0.625</v>
      </c>
      <c r="CK17">
        <v>0.625</v>
      </c>
      <c r="CL17">
        <v>100</v>
      </c>
      <c r="CM17">
        <v>18.875</v>
      </c>
      <c r="CN17">
        <v>17.75</v>
      </c>
      <c r="CO17">
        <v>94.039735099337747</v>
      </c>
      <c r="CP17">
        <v>6</v>
      </c>
      <c r="CQ17">
        <v>16.057500000000001</v>
      </c>
      <c r="CR17">
        <v>3.7712500000000002</v>
      </c>
      <c r="CS17">
        <v>10.9475</v>
      </c>
      <c r="CT17">
        <v>20.053750000000001</v>
      </c>
      <c r="CU17">
        <v>19.122499999999999</v>
      </c>
      <c r="CV17">
        <v>7.9337499999999999</v>
      </c>
      <c r="CW17">
        <v>1.5</v>
      </c>
      <c r="CX17">
        <v>1.37</v>
      </c>
      <c r="CY17">
        <v>8.25</v>
      </c>
      <c r="CZ17">
        <v>3.5</v>
      </c>
      <c r="DA17">
        <v>42.424242424242422</v>
      </c>
      <c r="DB17">
        <v>305.25</v>
      </c>
      <c r="DC17">
        <v>245.5</v>
      </c>
      <c r="DD17">
        <v>80.425880425880422</v>
      </c>
      <c r="DE17">
        <v>46.328749999999999</v>
      </c>
      <c r="DF17">
        <v>98.875</v>
      </c>
      <c r="DG17">
        <v>22.5</v>
      </c>
      <c r="DH17">
        <v>35.125</v>
      </c>
      <c r="DI17">
        <v>41.25</v>
      </c>
      <c r="DJ17">
        <v>71.25</v>
      </c>
      <c r="DK17">
        <v>37</v>
      </c>
      <c r="DL17">
        <v>26.875</v>
      </c>
      <c r="DM17">
        <v>7.375</v>
      </c>
      <c r="DN17">
        <v>177.125</v>
      </c>
      <c r="DO17">
        <v>81.125</v>
      </c>
      <c r="DP17">
        <v>45.800988002822869</v>
      </c>
      <c r="DQ17">
        <v>3.625</v>
      </c>
      <c r="DR17">
        <v>1.25</v>
      </c>
      <c r="DS17">
        <v>34.482758620689658</v>
      </c>
      <c r="DT17">
        <v>19.125</v>
      </c>
      <c r="DU17">
        <v>4.75</v>
      </c>
      <c r="DV17">
        <v>24.836601307189543</v>
      </c>
      <c r="DW17">
        <v>0.875</v>
      </c>
      <c r="DX17">
        <v>0.75</v>
      </c>
      <c r="DY17">
        <v>85.714285714285708</v>
      </c>
      <c r="DZ17">
        <v>26</v>
      </c>
      <c r="EA17">
        <v>2.125</v>
      </c>
      <c r="EB17">
        <v>8.1730769230769234</v>
      </c>
      <c r="EC17">
        <v>3.875</v>
      </c>
      <c r="ED17">
        <v>1.25</v>
      </c>
      <c r="EE17">
        <v>32.258064516129032</v>
      </c>
      <c r="EF17">
        <v>1.75</v>
      </c>
      <c r="EG17">
        <v>0.625</v>
      </c>
      <c r="EH17">
        <v>35.714285714285715</v>
      </c>
      <c r="EI17">
        <v>0.5</v>
      </c>
      <c r="EJ17">
        <v>0.5</v>
      </c>
      <c r="EK17">
        <v>100</v>
      </c>
      <c r="EL17">
        <v>12.75</v>
      </c>
      <c r="EM17">
        <v>4.125</v>
      </c>
      <c r="EN17">
        <v>32.352941176470587</v>
      </c>
      <c r="EO17">
        <v>4.25</v>
      </c>
      <c r="EP17">
        <v>4.25</v>
      </c>
      <c r="EQ17">
        <v>16.875</v>
      </c>
      <c r="ER17">
        <v>2.125</v>
      </c>
      <c r="ES17">
        <v>7.25</v>
      </c>
      <c r="ET17">
        <v>10.5</v>
      </c>
      <c r="EU17">
        <v>55.5</v>
      </c>
      <c r="EV17">
        <v>19</v>
      </c>
      <c r="EW17">
        <v>34.234234234234236</v>
      </c>
      <c r="EX17">
        <v>1</v>
      </c>
      <c r="EY17">
        <v>63.875</v>
      </c>
      <c r="EZ17">
        <v>37.125</v>
      </c>
      <c r="FA17">
        <v>58.121330724070454</v>
      </c>
      <c r="FB17">
        <v>37.5</v>
      </c>
      <c r="FC17">
        <v>16.625</v>
      </c>
      <c r="FD17">
        <v>44.333333333333336</v>
      </c>
      <c r="FE17">
        <v>4.625</v>
      </c>
      <c r="FF17">
        <v>2.5</v>
      </c>
      <c r="FG17">
        <v>54.054054054054056</v>
      </c>
      <c r="FH17">
        <v>37.125</v>
      </c>
      <c r="FI17">
        <v>18.625</v>
      </c>
      <c r="FJ17">
        <v>14.5</v>
      </c>
      <c r="FK17">
        <v>2.875</v>
      </c>
      <c r="FL17">
        <v>0.5</v>
      </c>
      <c r="FM17">
        <v>109</v>
      </c>
      <c r="FN17">
        <v>77.625</v>
      </c>
      <c r="FO17">
        <v>71.215596330275233</v>
      </c>
      <c r="FP17">
        <v>39.25</v>
      </c>
      <c r="FQ17">
        <v>36.125</v>
      </c>
      <c r="FR17">
        <v>92.038216560509554</v>
      </c>
      <c r="FS17">
        <v>105.375</v>
      </c>
      <c r="FT17">
        <v>90.125</v>
      </c>
      <c r="FU17">
        <v>85.527876631079479</v>
      </c>
      <c r="FV17">
        <v>36.25</v>
      </c>
      <c r="FW17">
        <v>20</v>
      </c>
      <c r="FX17">
        <v>55.172413793103445</v>
      </c>
      <c r="FY17">
        <v>36.625</v>
      </c>
      <c r="FZ17">
        <v>25.25</v>
      </c>
      <c r="GA17">
        <v>68.941979522184312</v>
      </c>
      <c r="GB17">
        <v>55.5</v>
      </c>
      <c r="GC17">
        <v>38.25</v>
      </c>
      <c r="GD17">
        <v>68.918918918918919</v>
      </c>
      <c r="GE17">
        <v>1.25</v>
      </c>
      <c r="GF17">
        <v>0.375</v>
      </c>
      <c r="GG17">
        <v>30</v>
      </c>
      <c r="GH17">
        <v>15.5</v>
      </c>
      <c r="GI17">
        <v>13.375</v>
      </c>
      <c r="GJ17">
        <v>86.290322580645167</v>
      </c>
      <c r="GK17">
        <v>11.25</v>
      </c>
      <c r="GL17">
        <v>15.352500000000001</v>
      </c>
      <c r="GM17">
        <v>3.2587499999999996</v>
      </c>
      <c r="GN17">
        <v>12.353750000000002</v>
      </c>
      <c r="GO17">
        <v>19.521249999999998</v>
      </c>
      <c r="GP17">
        <v>19.626249999999995</v>
      </c>
      <c r="GQ17">
        <v>9.7087500000000002</v>
      </c>
      <c r="GR17">
        <f t="shared" si="25"/>
        <v>1.4824999999999999</v>
      </c>
      <c r="GS17">
        <f t="shared" si="26"/>
        <v>0.9900000000000001</v>
      </c>
      <c r="GT17">
        <f t="shared" si="27"/>
        <v>-0.3274999999999999</v>
      </c>
      <c r="GU17">
        <f t="shared" si="28"/>
        <v>0.12999999999999989</v>
      </c>
      <c r="GV17">
        <f t="shared" si="29"/>
        <v>7.25</v>
      </c>
      <c r="GW17">
        <f t="shared" si="30"/>
        <v>4.625</v>
      </c>
      <c r="GX17" s="2">
        <f t="shared" si="31"/>
        <v>0.40589198036006546</v>
      </c>
      <c r="GY17" s="2">
        <f t="shared" si="32"/>
        <v>0.43207855973813419</v>
      </c>
      <c r="GZ17" s="2">
        <f t="shared" si="33"/>
        <v>0.16202945990180032</v>
      </c>
      <c r="HA17">
        <f t="shared" si="34"/>
        <v>0.10260162601626016</v>
      </c>
      <c r="HB17">
        <f t="shared" si="35"/>
        <v>0.16606060606060608</v>
      </c>
    </row>
    <row r="18" spans="1:210" x14ac:dyDescent="0.2">
      <c r="A18" t="s">
        <v>109</v>
      </c>
      <c r="B18">
        <v>1</v>
      </c>
      <c r="C18">
        <v>1.4750000000000001</v>
      </c>
      <c r="D18">
        <v>12.5</v>
      </c>
      <c r="E18">
        <v>3.625</v>
      </c>
      <c r="F18">
        <v>28.999999999999996</v>
      </c>
      <c r="G18">
        <v>314.125</v>
      </c>
      <c r="H18">
        <v>245.5</v>
      </c>
      <c r="I18">
        <v>78.153601273378442</v>
      </c>
      <c r="J18">
        <v>43.7575</v>
      </c>
      <c r="K18">
        <v>100.375</v>
      </c>
      <c r="L18">
        <v>19.125</v>
      </c>
      <c r="M18">
        <v>35.625</v>
      </c>
      <c r="N18">
        <v>45.625</v>
      </c>
      <c r="O18">
        <v>70.375</v>
      </c>
      <c r="P18">
        <v>35.625</v>
      </c>
      <c r="Q18">
        <v>25.25</v>
      </c>
      <c r="R18">
        <v>9.5</v>
      </c>
      <c r="S18">
        <v>168.125</v>
      </c>
      <c r="T18">
        <v>84.375</v>
      </c>
      <c r="U18">
        <v>50.185873605947947</v>
      </c>
      <c r="V18">
        <v>6.125</v>
      </c>
      <c r="W18">
        <v>1.375</v>
      </c>
      <c r="X18">
        <v>22.448979591836736</v>
      </c>
      <c r="Y18">
        <v>25.5</v>
      </c>
      <c r="Z18">
        <v>8.375</v>
      </c>
      <c r="AA18">
        <v>32.843137254901961</v>
      </c>
      <c r="AB18">
        <v>0.25</v>
      </c>
      <c r="AC18">
        <v>0.125</v>
      </c>
      <c r="AD18">
        <v>50</v>
      </c>
      <c r="AE18">
        <v>24.125</v>
      </c>
      <c r="AF18">
        <v>3.25</v>
      </c>
      <c r="AG18">
        <v>13.471502590673575</v>
      </c>
      <c r="AH18">
        <v>4.5</v>
      </c>
      <c r="AI18">
        <v>1.75</v>
      </c>
      <c r="AJ18">
        <v>38.888888888888893</v>
      </c>
      <c r="AK18">
        <v>2.125</v>
      </c>
      <c r="AL18">
        <v>0.5</v>
      </c>
      <c r="AM18">
        <v>23.52941176470588</v>
      </c>
      <c r="AN18">
        <v>0.25</v>
      </c>
      <c r="AO18">
        <v>0.25</v>
      </c>
      <c r="AP18">
        <v>100</v>
      </c>
      <c r="AQ18">
        <v>13.375</v>
      </c>
      <c r="AR18">
        <v>5.5</v>
      </c>
      <c r="AS18">
        <v>41.121495327102799</v>
      </c>
      <c r="AT18">
        <v>5.375</v>
      </c>
      <c r="AU18">
        <v>6.875</v>
      </c>
      <c r="AV18">
        <v>20.875</v>
      </c>
      <c r="AW18">
        <v>2.75</v>
      </c>
      <c r="AX18">
        <v>8.75</v>
      </c>
      <c r="AY18">
        <v>14.625</v>
      </c>
      <c r="AZ18">
        <v>51.875</v>
      </c>
      <c r="BA18">
        <v>18.375</v>
      </c>
      <c r="BB18">
        <v>35.421686746987952</v>
      </c>
      <c r="BC18">
        <v>2</v>
      </c>
      <c r="BD18">
        <v>63.125</v>
      </c>
      <c r="BE18">
        <v>41.5</v>
      </c>
      <c r="BF18">
        <v>65.742574257425744</v>
      </c>
      <c r="BG18">
        <v>30</v>
      </c>
      <c r="BH18">
        <v>14.75</v>
      </c>
      <c r="BI18">
        <v>49.166666666666664</v>
      </c>
      <c r="BJ18">
        <v>5.625</v>
      </c>
      <c r="BK18">
        <v>3.5</v>
      </c>
      <c r="BL18">
        <v>62.222222222222221</v>
      </c>
      <c r="BM18">
        <v>39.125</v>
      </c>
      <c r="BN18">
        <v>18.75</v>
      </c>
      <c r="BO18">
        <v>12.5</v>
      </c>
      <c r="BP18">
        <v>3.75</v>
      </c>
      <c r="BQ18">
        <v>0.25</v>
      </c>
      <c r="BR18">
        <v>123</v>
      </c>
      <c r="BS18">
        <v>84.875</v>
      </c>
      <c r="BT18">
        <v>69.004065040650403</v>
      </c>
      <c r="BU18">
        <v>34</v>
      </c>
      <c r="BV18">
        <v>30.375</v>
      </c>
      <c r="BW18">
        <v>89.338235294117652</v>
      </c>
      <c r="BX18">
        <v>98.75</v>
      </c>
      <c r="BY18">
        <v>83.125</v>
      </c>
      <c r="BZ18">
        <v>84.177215189873422</v>
      </c>
      <c r="CA18">
        <v>42.75</v>
      </c>
      <c r="CB18">
        <v>21.375</v>
      </c>
      <c r="CC18">
        <v>50</v>
      </c>
      <c r="CD18">
        <v>47.5</v>
      </c>
      <c r="CE18">
        <v>30.625</v>
      </c>
      <c r="CF18">
        <v>64.473684210526315</v>
      </c>
      <c r="CG18">
        <v>65.375</v>
      </c>
      <c r="CH18">
        <v>44.75</v>
      </c>
      <c r="CI18">
        <v>68.451242829827919</v>
      </c>
      <c r="CJ18">
        <v>1.25</v>
      </c>
      <c r="CK18">
        <v>0.25</v>
      </c>
      <c r="CL18">
        <v>20</v>
      </c>
      <c r="CM18">
        <v>19</v>
      </c>
      <c r="CN18">
        <v>16.875</v>
      </c>
      <c r="CO18">
        <v>88.81578947368422</v>
      </c>
      <c r="CP18">
        <v>9.125</v>
      </c>
      <c r="CQ18">
        <v>16.46</v>
      </c>
      <c r="CR18">
        <v>3.17875</v>
      </c>
      <c r="CS18">
        <v>14.075000000000001</v>
      </c>
      <c r="CT18">
        <v>20.143750000000001</v>
      </c>
      <c r="CU18">
        <v>19.5625</v>
      </c>
      <c r="CV18">
        <v>12.03</v>
      </c>
      <c r="CW18">
        <v>1.25</v>
      </c>
      <c r="CX18">
        <v>1.0975000000000001</v>
      </c>
      <c r="CY18">
        <v>12.75</v>
      </c>
      <c r="CZ18">
        <v>5</v>
      </c>
      <c r="DA18">
        <v>39.215686274509807</v>
      </c>
      <c r="DB18">
        <v>408</v>
      </c>
      <c r="DC18">
        <v>343.375</v>
      </c>
      <c r="DD18">
        <v>84.160539215686271</v>
      </c>
      <c r="DE18">
        <v>56.2425</v>
      </c>
      <c r="DF18">
        <v>102</v>
      </c>
      <c r="DG18">
        <v>17.625</v>
      </c>
      <c r="DH18">
        <v>32.625</v>
      </c>
      <c r="DI18">
        <v>51.75</v>
      </c>
      <c r="DJ18">
        <v>75.25</v>
      </c>
      <c r="DK18">
        <v>35.25</v>
      </c>
      <c r="DL18">
        <v>29.125</v>
      </c>
      <c r="DM18">
        <v>10.875</v>
      </c>
      <c r="DN18">
        <v>168.125</v>
      </c>
      <c r="DO18">
        <v>76.125</v>
      </c>
      <c r="DP18">
        <v>45.278810408921935</v>
      </c>
      <c r="DQ18">
        <v>7.625</v>
      </c>
      <c r="DR18">
        <v>2.375</v>
      </c>
      <c r="DS18">
        <v>31.147540983606557</v>
      </c>
      <c r="DT18">
        <v>29.25</v>
      </c>
      <c r="DU18">
        <v>8.25</v>
      </c>
      <c r="DV18">
        <v>28.205128205128204</v>
      </c>
      <c r="DW18">
        <v>1.75</v>
      </c>
      <c r="DX18">
        <v>0.625</v>
      </c>
      <c r="DY18">
        <v>35.714285714285715</v>
      </c>
      <c r="DZ18">
        <v>26.75</v>
      </c>
      <c r="EA18">
        <v>2.75</v>
      </c>
      <c r="EB18">
        <v>10.2803738317757</v>
      </c>
      <c r="EC18">
        <v>5.125</v>
      </c>
      <c r="ED18">
        <v>1</v>
      </c>
      <c r="EE18">
        <v>19.512195121951219</v>
      </c>
      <c r="EF18">
        <v>4</v>
      </c>
      <c r="EG18">
        <v>0.875</v>
      </c>
      <c r="EH18">
        <v>21.875</v>
      </c>
      <c r="EI18">
        <v>0</v>
      </c>
      <c r="EJ18">
        <v>0</v>
      </c>
      <c r="EK18">
        <v>0</v>
      </c>
      <c r="EL18">
        <v>16.125</v>
      </c>
      <c r="EM18">
        <v>4</v>
      </c>
      <c r="EN18">
        <v>24.806201550387598</v>
      </c>
      <c r="EO18">
        <v>4.125</v>
      </c>
      <c r="EP18">
        <v>5</v>
      </c>
      <c r="EQ18">
        <v>21</v>
      </c>
      <c r="ER18">
        <v>2.125</v>
      </c>
      <c r="ES18">
        <v>10.625</v>
      </c>
      <c r="ET18">
        <v>11.5</v>
      </c>
      <c r="EU18">
        <v>63.125</v>
      </c>
      <c r="EV18">
        <v>21.625</v>
      </c>
      <c r="EW18">
        <v>34.257425742574263</v>
      </c>
      <c r="EX18">
        <v>1.75</v>
      </c>
      <c r="EY18">
        <v>51.875</v>
      </c>
      <c r="EZ18">
        <v>33.5</v>
      </c>
      <c r="FA18">
        <v>64.578313253012041</v>
      </c>
      <c r="FB18">
        <v>30</v>
      </c>
      <c r="FC18">
        <v>11.125</v>
      </c>
      <c r="FD18">
        <v>37.083333333333336</v>
      </c>
      <c r="FE18">
        <v>3.125</v>
      </c>
      <c r="FF18">
        <v>2</v>
      </c>
      <c r="FG18">
        <v>64</v>
      </c>
      <c r="FH18">
        <v>36.375</v>
      </c>
      <c r="FI18">
        <v>16.625</v>
      </c>
      <c r="FJ18">
        <v>10.5</v>
      </c>
      <c r="FK18">
        <v>3.5</v>
      </c>
      <c r="FL18">
        <v>0</v>
      </c>
      <c r="FM18">
        <v>140.75</v>
      </c>
      <c r="FN18">
        <v>110.875</v>
      </c>
      <c r="FO18">
        <v>78.774422735346363</v>
      </c>
      <c r="FP18">
        <v>61</v>
      </c>
      <c r="FQ18">
        <v>57.75</v>
      </c>
      <c r="FR18">
        <v>94.672131147540981</v>
      </c>
      <c r="FS18">
        <v>134.75</v>
      </c>
      <c r="FT18">
        <v>117</v>
      </c>
      <c r="FU18">
        <v>86.827458256029686</v>
      </c>
      <c r="FV18">
        <v>42.125</v>
      </c>
      <c r="FW18">
        <v>25.25</v>
      </c>
      <c r="FX18">
        <v>59.940652818991104</v>
      </c>
      <c r="FY18">
        <v>58.125</v>
      </c>
      <c r="FZ18">
        <v>43.5</v>
      </c>
      <c r="GA18">
        <v>74.838709677419359</v>
      </c>
      <c r="GB18">
        <v>71.375</v>
      </c>
      <c r="GC18">
        <v>55.5</v>
      </c>
      <c r="GD18">
        <v>77.758318739054289</v>
      </c>
      <c r="GE18">
        <v>0.625</v>
      </c>
      <c r="GF18">
        <v>0.375</v>
      </c>
      <c r="GG18">
        <v>60</v>
      </c>
      <c r="GH18">
        <v>19</v>
      </c>
      <c r="GI18">
        <v>16.875</v>
      </c>
      <c r="GJ18">
        <v>88.81578947368422</v>
      </c>
      <c r="GK18">
        <v>8.5</v>
      </c>
      <c r="GL18">
        <v>16.282499999999999</v>
      </c>
      <c r="GM18">
        <v>3.9587499999999998</v>
      </c>
      <c r="GN18">
        <v>10.83</v>
      </c>
      <c r="GO18">
        <v>21.418749999999996</v>
      </c>
      <c r="GP18">
        <v>19.018749999999997</v>
      </c>
      <c r="GQ18">
        <v>9.2562499999999996</v>
      </c>
      <c r="GR18">
        <f t="shared" si="25"/>
        <v>1.2850000000000001</v>
      </c>
      <c r="GS18">
        <f t="shared" si="26"/>
        <v>1.0975000000000001</v>
      </c>
      <c r="GT18">
        <f t="shared" si="27"/>
        <v>-0.47500000000000009</v>
      </c>
      <c r="GU18">
        <f t="shared" si="28"/>
        <v>0.15249999999999986</v>
      </c>
      <c r="GV18">
        <f t="shared" si="29"/>
        <v>6.375</v>
      </c>
      <c r="GW18">
        <f t="shared" si="30"/>
        <v>5.125</v>
      </c>
      <c r="GX18" s="2">
        <f t="shared" si="31"/>
        <v>0.50621669626998222</v>
      </c>
      <c r="GY18" s="2">
        <f t="shared" si="32"/>
        <v>0.35879218472468916</v>
      </c>
      <c r="GZ18" s="2">
        <f t="shared" si="33"/>
        <v>0.13499111900532859</v>
      </c>
      <c r="HA18">
        <f t="shared" si="34"/>
        <v>0.11800000000000001</v>
      </c>
      <c r="HB18">
        <f t="shared" si="35"/>
        <v>8.607843137254903E-2</v>
      </c>
    </row>
    <row r="19" spans="1:210" x14ac:dyDescent="0.2">
      <c r="A19" t="s">
        <v>110</v>
      </c>
      <c r="B19">
        <v>1.625</v>
      </c>
      <c r="C19">
        <v>1.4175000000000002</v>
      </c>
      <c r="D19">
        <v>13.125</v>
      </c>
      <c r="E19">
        <v>5.875</v>
      </c>
      <c r="F19">
        <v>44.761904761904766</v>
      </c>
      <c r="G19">
        <v>418.75</v>
      </c>
      <c r="H19">
        <v>356</v>
      </c>
      <c r="I19">
        <v>85.014925373134332</v>
      </c>
      <c r="J19">
        <v>52.433750000000003</v>
      </c>
      <c r="K19">
        <v>87.625</v>
      </c>
      <c r="L19">
        <v>16.25</v>
      </c>
      <c r="M19">
        <v>28</v>
      </c>
      <c r="N19">
        <v>43.375</v>
      </c>
      <c r="O19">
        <v>68</v>
      </c>
      <c r="P19">
        <v>32.875</v>
      </c>
      <c r="Q19">
        <v>23</v>
      </c>
      <c r="R19">
        <v>12.125</v>
      </c>
      <c r="S19">
        <v>158.125</v>
      </c>
      <c r="T19">
        <v>77.625</v>
      </c>
      <c r="U19">
        <v>49.090909090909093</v>
      </c>
      <c r="V19">
        <v>5.875</v>
      </c>
      <c r="W19">
        <v>1.75</v>
      </c>
      <c r="X19">
        <v>29.787234042553191</v>
      </c>
      <c r="Y19">
        <v>31.25</v>
      </c>
      <c r="Z19">
        <v>9.25</v>
      </c>
      <c r="AA19">
        <v>29.599999999999998</v>
      </c>
      <c r="AB19">
        <v>0.5</v>
      </c>
      <c r="AC19">
        <v>0.25</v>
      </c>
      <c r="AD19">
        <v>50</v>
      </c>
      <c r="AE19">
        <v>27.25</v>
      </c>
      <c r="AF19">
        <v>3.125</v>
      </c>
      <c r="AG19">
        <v>11.467889908256881</v>
      </c>
      <c r="AH19">
        <v>6.75</v>
      </c>
      <c r="AI19">
        <v>1.75</v>
      </c>
      <c r="AJ19">
        <v>25.925925925925924</v>
      </c>
      <c r="AK19">
        <v>2.5</v>
      </c>
      <c r="AL19">
        <v>0.125</v>
      </c>
      <c r="AM19">
        <v>5</v>
      </c>
      <c r="AN19">
        <v>0.125</v>
      </c>
      <c r="AO19">
        <v>0.125</v>
      </c>
      <c r="AP19">
        <v>100</v>
      </c>
      <c r="AQ19">
        <v>14.875</v>
      </c>
      <c r="AR19">
        <v>4.5</v>
      </c>
      <c r="AS19">
        <v>30.252100840336134</v>
      </c>
      <c r="AT19">
        <v>4.125</v>
      </c>
      <c r="AU19">
        <v>9.625</v>
      </c>
      <c r="AV19">
        <v>24.5</v>
      </c>
      <c r="AW19">
        <v>5.625</v>
      </c>
      <c r="AX19">
        <v>8.375</v>
      </c>
      <c r="AY19">
        <v>20.25</v>
      </c>
      <c r="AZ19">
        <v>60</v>
      </c>
      <c r="BA19">
        <v>24.875</v>
      </c>
      <c r="BB19">
        <v>41.458333333333336</v>
      </c>
      <c r="BC19">
        <v>2.25</v>
      </c>
      <c r="BD19">
        <v>55.625</v>
      </c>
      <c r="BE19">
        <v>34.375</v>
      </c>
      <c r="BF19">
        <v>61.797752808988761</v>
      </c>
      <c r="BG19">
        <v>22.875</v>
      </c>
      <c r="BH19">
        <v>10.25</v>
      </c>
      <c r="BI19">
        <v>44.808743169398909</v>
      </c>
      <c r="BJ19">
        <v>3.25</v>
      </c>
      <c r="BK19">
        <v>1.875</v>
      </c>
      <c r="BL19">
        <v>57.692307692307686</v>
      </c>
      <c r="BM19">
        <v>33.375</v>
      </c>
      <c r="BN19">
        <v>13.5</v>
      </c>
      <c r="BO19">
        <v>10.75</v>
      </c>
      <c r="BP19">
        <v>3.5</v>
      </c>
      <c r="BQ19">
        <v>0</v>
      </c>
      <c r="BR19">
        <v>142.5</v>
      </c>
      <c r="BS19">
        <v>112.25</v>
      </c>
      <c r="BT19">
        <v>78.771929824561397</v>
      </c>
      <c r="BU19">
        <v>65.25</v>
      </c>
      <c r="BV19">
        <v>60.375</v>
      </c>
      <c r="BW19">
        <v>92.52873563218391</v>
      </c>
      <c r="BX19">
        <v>143.125</v>
      </c>
      <c r="BY19">
        <v>127.75</v>
      </c>
      <c r="BZ19">
        <v>89.257641921397379</v>
      </c>
      <c r="CA19">
        <v>39.875</v>
      </c>
      <c r="CB19">
        <v>21.625</v>
      </c>
      <c r="CC19">
        <v>54.231974921630098</v>
      </c>
      <c r="CD19">
        <v>54.25</v>
      </c>
      <c r="CE19">
        <v>42.25</v>
      </c>
      <c r="CF19">
        <v>77.880184331797224</v>
      </c>
      <c r="CG19">
        <v>65.125</v>
      </c>
      <c r="CH19">
        <v>49.25</v>
      </c>
      <c r="CI19">
        <v>75.623800383877153</v>
      </c>
      <c r="CJ19">
        <v>2.25</v>
      </c>
      <c r="CK19">
        <v>0.875</v>
      </c>
      <c r="CL19">
        <v>38.888888888888893</v>
      </c>
      <c r="CM19">
        <v>13.75</v>
      </c>
      <c r="CN19">
        <v>13.125</v>
      </c>
      <c r="CO19">
        <v>95.454545454545453</v>
      </c>
      <c r="CP19">
        <v>8.125</v>
      </c>
      <c r="CQ19">
        <v>16.612500000000001</v>
      </c>
      <c r="CR19">
        <v>4.3674999999999997</v>
      </c>
      <c r="CS19">
        <v>9.8837500000000009</v>
      </c>
      <c r="CT19">
        <v>19.368749999999999</v>
      </c>
      <c r="CU19">
        <v>19.103750000000002</v>
      </c>
      <c r="CV19">
        <v>12.135</v>
      </c>
      <c r="CW19">
        <v>1.25</v>
      </c>
      <c r="CX19">
        <v>1.1800000000000002</v>
      </c>
      <c r="CY19">
        <v>12.625</v>
      </c>
      <c r="CZ19">
        <v>4.875</v>
      </c>
      <c r="DA19">
        <v>38.613861386138616</v>
      </c>
      <c r="DB19">
        <v>357.25</v>
      </c>
      <c r="DC19">
        <v>296.25</v>
      </c>
      <c r="DD19">
        <v>82.925122463261019</v>
      </c>
      <c r="DE19">
        <v>47.566249999999997</v>
      </c>
      <c r="DF19">
        <v>92.125</v>
      </c>
      <c r="DG19">
        <v>18.875</v>
      </c>
      <c r="DH19">
        <v>25.75</v>
      </c>
      <c r="DI19">
        <v>47.5</v>
      </c>
      <c r="DJ19">
        <v>63.75</v>
      </c>
      <c r="DK19">
        <v>31.25</v>
      </c>
      <c r="DL19">
        <v>23.5</v>
      </c>
      <c r="DM19">
        <v>9</v>
      </c>
      <c r="DN19">
        <v>158.125</v>
      </c>
      <c r="DO19">
        <v>74.875</v>
      </c>
      <c r="DP19">
        <v>47.351778656126484</v>
      </c>
      <c r="DQ19">
        <v>7.375</v>
      </c>
      <c r="DR19">
        <v>2</v>
      </c>
      <c r="DS19">
        <v>27.118644067796609</v>
      </c>
      <c r="DT19">
        <v>29.375</v>
      </c>
      <c r="DU19">
        <v>8.375</v>
      </c>
      <c r="DV19">
        <v>28.510638297872344</v>
      </c>
      <c r="DW19">
        <v>0.75</v>
      </c>
      <c r="DX19">
        <v>0.25</v>
      </c>
      <c r="DY19">
        <v>33.333333333333329</v>
      </c>
      <c r="DZ19">
        <v>22.25</v>
      </c>
      <c r="EA19">
        <v>3.125</v>
      </c>
      <c r="EB19">
        <v>14.04494382022472</v>
      </c>
      <c r="EC19">
        <v>3.875</v>
      </c>
      <c r="ED19">
        <v>1.125</v>
      </c>
      <c r="EE19">
        <v>29.032258064516132</v>
      </c>
      <c r="EF19">
        <v>2.125</v>
      </c>
      <c r="EG19">
        <v>0.625</v>
      </c>
      <c r="EH19">
        <v>29.411764705882355</v>
      </c>
      <c r="EI19">
        <v>0.25</v>
      </c>
      <c r="EJ19">
        <v>0.25</v>
      </c>
      <c r="EK19">
        <v>100</v>
      </c>
      <c r="EL19">
        <v>13.375</v>
      </c>
      <c r="EM19">
        <v>4</v>
      </c>
      <c r="EN19">
        <v>29.906542056074763</v>
      </c>
      <c r="EO19">
        <v>3.75</v>
      </c>
      <c r="EP19">
        <v>6.625</v>
      </c>
      <c r="EQ19">
        <v>21.25</v>
      </c>
      <c r="ER19">
        <v>3</v>
      </c>
      <c r="ES19">
        <v>7.375</v>
      </c>
      <c r="ET19">
        <v>14.125</v>
      </c>
      <c r="EU19">
        <v>55.625</v>
      </c>
      <c r="EV19">
        <v>21.25</v>
      </c>
      <c r="EW19">
        <v>38.202247191011232</v>
      </c>
      <c r="EX19">
        <v>2.625</v>
      </c>
      <c r="EY19">
        <v>60</v>
      </c>
      <c r="EZ19">
        <v>35.125</v>
      </c>
      <c r="FA19">
        <v>58.541666666666671</v>
      </c>
      <c r="FB19">
        <v>22.875</v>
      </c>
      <c r="FC19">
        <v>9.875</v>
      </c>
      <c r="FD19">
        <v>43.169398907103826</v>
      </c>
      <c r="FE19">
        <v>2.625</v>
      </c>
      <c r="FF19">
        <v>1.5</v>
      </c>
      <c r="FG19">
        <v>57.142857142857139</v>
      </c>
      <c r="FH19">
        <v>36.125</v>
      </c>
      <c r="FI19">
        <v>13.125</v>
      </c>
      <c r="FJ19">
        <v>11.125</v>
      </c>
      <c r="FK19">
        <v>2.75</v>
      </c>
      <c r="FL19">
        <v>0.375</v>
      </c>
      <c r="FM19">
        <v>127.25</v>
      </c>
      <c r="FN19">
        <v>96.25</v>
      </c>
      <c r="FO19">
        <v>75.638506876227893</v>
      </c>
      <c r="FP19">
        <v>49.375</v>
      </c>
      <c r="FQ19">
        <v>46.875</v>
      </c>
      <c r="FR19">
        <v>94.936708860759495</v>
      </c>
      <c r="FS19">
        <v>117.5</v>
      </c>
      <c r="FT19">
        <v>99.875</v>
      </c>
      <c r="FU19">
        <v>85</v>
      </c>
      <c r="FV19">
        <v>34.875</v>
      </c>
      <c r="FW19">
        <v>18.5</v>
      </c>
      <c r="FX19">
        <v>53.046594982078851</v>
      </c>
      <c r="FY19">
        <v>50.875</v>
      </c>
      <c r="FZ19">
        <v>36.125</v>
      </c>
      <c r="GA19">
        <v>71.007371007371006</v>
      </c>
      <c r="GB19">
        <v>62</v>
      </c>
      <c r="GC19">
        <v>45.375</v>
      </c>
      <c r="GD19">
        <v>73.185483870967744</v>
      </c>
      <c r="GE19">
        <v>2.125</v>
      </c>
      <c r="GF19">
        <v>0.875</v>
      </c>
      <c r="GG19">
        <v>41.17647058823529</v>
      </c>
      <c r="GH19">
        <v>18.25</v>
      </c>
      <c r="GI19">
        <v>16.25</v>
      </c>
      <c r="GJ19">
        <v>89.041095890410958</v>
      </c>
      <c r="GK19">
        <v>6.375</v>
      </c>
      <c r="GL19">
        <v>15.450000000000003</v>
      </c>
      <c r="GM19">
        <v>3.7762500000000001</v>
      </c>
      <c r="GN19">
        <v>10.801250000000001</v>
      </c>
      <c r="GO19">
        <v>22.651250000000001</v>
      </c>
      <c r="GP19">
        <v>18.967499999999998</v>
      </c>
      <c r="GQ19">
        <v>11.954999999999998</v>
      </c>
      <c r="GR19">
        <f t="shared" si="25"/>
        <v>1.3225000000000002</v>
      </c>
      <c r="GS19">
        <f t="shared" si="26"/>
        <v>0.99000000000000021</v>
      </c>
      <c r="GT19">
        <f t="shared" si="27"/>
        <v>0.2074999999999998</v>
      </c>
      <c r="GU19">
        <f t="shared" si="28"/>
        <v>6.999999999999984E-2</v>
      </c>
      <c r="GV19">
        <f t="shared" si="29"/>
        <v>7.25</v>
      </c>
      <c r="GW19">
        <f t="shared" si="30"/>
        <v>5.25</v>
      </c>
      <c r="GX19" s="2">
        <f t="shared" si="31"/>
        <v>0.48345588235294118</v>
      </c>
      <c r="GY19" s="2">
        <f t="shared" si="32"/>
        <v>0.33823529411764708</v>
      </c>
      <c r="GZ19" s="2">
        <f t="shared" si="33"/>
        <v>0.17830882352941177</v>
      </c>
      <c r="HA19">
        <f t="shared" si="34"/>
        <v>0.10800000000000001</v>
      </c>
      <c r="HB19">
        <f t="shared" si="35"/>
        <v>9.3465346534653479E-2</v>
      </c>
    </row>
    <row r="20" spans="1:210" x14ac:dyDescent="0.2">
      <c r="A20" t="s">
        <v>111</v>
      </c>
      <c r="B20">
        <v>1.125</v>
      </c>
      <c r="C20">
        <v>1.4350000000000003</v>
      </c>
      <c r="D20">
        <v>14.125</v>
      </c>
      <c r="E20">
        <v>5.5</v>
      </c>
      <c r="F20">
        <v>38.938053097345133</v>
      </c>
      <c r="G20">
        <v>388.125</v>
      </c>
      <c r="H20">
        <v>322.375</v>
      </c>
      <c r="I20">
        <v>83.059581320450889</v>
      </c>
      <c r="J20">
        <v>50.224999999999994</v>
      </c>
      <c r="K20">
        <v>100.25</v>
      </c>
      <c r="L20">
        <v>15.125</v>
      </c>
      <c r="M20">
        <v>31.125</v>
      </c>
      <c r="N20">
        <v>54</v>
      </c>
      <c r="O20">
        <v>67.75</v>
      </c>
      <c r="P20">
        <v>25.375</v>
      </c>
      <c r="Q20">
        <v>30</v>
      </c>
      <c r="R20">
        <v>12.375</v>
      </c>
      <c r="S20">
        <v>152</v>
      </c>
      <c r="T20">
        <v>75.25</v>
      </c>
      <c r="U20">
        <v>49.506578947368425</v>
      </c>
      <c r="V20">
        <v>7</v>
      </c>
      <c r="W20">
        <v>2.25</v>
      </c>
      <c r="X20">
        <v>32.142857142857146</v>
      </c>
      <c r="Y20">
        <v>29.5</v>
      </c>
      <c r="Z20">
        <v>8</v>
      </c>
      <c r="AA20">
        <v>27.118644067796609</v>
      </c>
      <c r="AB20">
        <v>0.75</v>
      </c>
      <c r="AC20">
        <v>0.375</v>
      </c>
      <c r="AD20">
        <v>50</v>
      </c>
      <c r="AE20">
        <v>25.375</v>
      </c>
      <c r="AF20">
        <v>4.5</v>
      </c>
      <c r="AG20">
        <v>17.733990147783253</v>
      </c>
      <c r="AH20">
        <v>5.375</v>
      </c>
      <c r="AI20">
        <v>1.75</v>
      </c>
      <c r="AJ20">
        <v>32.558139534883722</v>
      </c>
      <c r="AK20">
        <v>3.625</v>
      </c>
      <c r="AL20">
        <v>1</v>
      </c>
      <c r="AM20">
        <v>27.586206896551722</v>
      </c>
      <c r="AN20">
        <v>0</v>
      </c>
      <c r="AO20">
        <v>0</v>
      </c>
      <c r="AP20">
        <v>0</v>
      </c>
      <c r="AQ20">
        <v>16.375</v>
      </c>
      <c r="AR20">
        <v>5.75</v>
      </c>
      <c r="AS20">
        <v>35.114503816793892</v>
      </c>
      <c r="AT20">
        <v>5.25</v>
      </c>
      <c r="AU20">
        <v>5.25</v>
      </c>
      <c r="AV20">
        <v>22.625</v>
      </c>
      <c r="AW20">
        <v>1.25</v>
      </c>
      <c r="AX20">
        <v>11.625</v>
      </c>
      <c r="AY20">
        <v>14</v>
      </c>
      <c r="AZ20">
        <v>52.75</v>
      </c>
      <c r="BA20">
        <v>22.5</v>
      </c>
      <c r="BB20">
        <v>42.654028436018962</v>
      </c>
      <c r="BC20">
        <v>0.875</v>
      </c>
      <c r="BD20">
        <v>48.625</v>
      </c>
      <c r="BE20">
        <v>29.5</v>
      </c>
      <c r="BF20">
        <v>60.668380462724933</v>
      </c>
      <c r="BG20">
        <v>30.25</v>
      </c>
      <c r="BH20">
        <v>13</v>
      </c>
      <c r="BI20">
        <v>42.97520661157025</v>
      </c>
      <c r="BJ20">
        <v>3</v>
      </c>
      <c r="BK20">
        <v>1.75</v>
      </c>
      <c r="BL20">
        <v>58.333333333333336</v>
      </c>
      <c r="BM20">
        <v>31.875</v>
      </c>
      <c r="BN20">
        <v>10.75</v>
      </c>
      <c r="BO20">
        <v>11.875</v>
      </c>
      <c r="BP20">
        <v>2.75</v>
      </c>
      <c r="BQ20">
        <v>0.25</v>
      </c>
      <c r="BR20">
        <v>133.875</v>
      </c>
      <c r="BS20">
        <v>102.5</v>
      </c>
      <c r="BT20">
        <v>76.563958916900106</v>
      </c>
      <c r="BU20">
        <v>49.875</v>
      </c>
      <c r="BV20">
        <v>45.75</v>
      </c>
      <c r="BW20">
        <v>91.729323308270665</v>
      </c>
      <c r="BX20">
        <v>137.875</v>
      </c>
      <c r="BY20">
        <v>120.875</v>
      </c>
      <c r="BZ20">
        <v>87.669990933816862</v>
      </c>
      <c r="CA20">
        <v>33.75</v>
      </c>
      <c r="CB20">
        <v>18.75</v>
      </c>
      <c r="CC20">
        <v>55.555555555555557</v>
      </c>
      <c r="CD20">
        <v>58.625</v>
      </c>
      <c r="CE20">
        <v>43.625</v>
      </c>
      <c r="CF20">
        <v>74.413646055437098</v>
      </c>
      <c r="CG20">
        <v>66.5</v>
      </c>
      <c r="CH20">
        <v>51</v>
      </c>
      <c r="CI20">
        <v>76.691729323308266</v>
      </c>
      <c r="CJ20">
        <v>1</v>
      </c>
      <c r="CK20">
        <v>0.625</v>
      </c>
      <c r="CL20">
        <v>62.5</v>
      </c>
      <c r="CM20">
        <v>20.125</v>
      </c>
      <c r="CN20">
        <v>17.75</v>
      </c>
      <c r="CO20">
        <v>88.198757763975152</v>
      </c>
      <c r="CP20">
        <v>8.25</v>
      </c>
      <c r="CQ20">
        <v>16.272500000000001</v>
      </c>
      <c r="CR20">
        <v>4.0237499999999997</v>
      </c>
      <c r="CS20">
        <v>9.2149999999999999</v>
      </c>
      <c r="CT20">
        <v>20.298749999999998</v>
      </c>
      <c r="CU20">
        <v>19.2225</v>
      </c>
      <c r="CV20">
        <v>10.433749999999998</v>
      </c>
      <c r="CW20">
        <v>1.25</v>
      </c>
      <c r="CX20">
        <v>0.95250000000000012</v>
      </c>
      <c r="CY20">
        <v>10.75</v>
      </c>
      <c r="CZ20">
        <v>3.75</v>
      </c>
      <c r="DA20">
        <v>34.883720930232556</v>
      </c>
      <c r="DB20">
        <v>392.5</v>
      </c>
      <c r="DC20">
        <v>331.25</v>
      </c>
      <c r="DD20">
        <v>84.394904458598731</v>
      </c>
      <c r="DE20">
        <v>49.775000000000006</v>
      </c>
      <c r="DF20">
        <v>95.5</v>
      </c>
      <c r="DG20">
        <v>21.875</v>
      </c>
      <c r="DH20">
        <v>34.75</v>
      </c>
      <c r="DI20">
        <v>38.875</v>
      </c>
      <c r="DJ20">
        <v>72.75</v>
      </c>
      <c r="DK20">
        <v>37.5</v>
      </c>
      <c r="DL20">
        <v>27</v>
      </c>
      <c r="DM20">
        <v>8.25</v>
      </c>
      <c r="DN20">
        <v>152</v>
      </c>
      <c r="DO20">
        <v>69.5</v>
      </c>
      <c r="DP20">
        <v>45.723684210526315</v>
      </c>
      <c r="DQ20">
        <v>6.125</v>
      </c>
      <c r="DR20">
        <v>1.375</v>
      </c>
      <c r="DS20">
        <v>22.448979591836736</v>
      </c>
      <c r="DT20">
        <v>25.75</v>
      </c>
      <c r="DU20">
        <v>7.5</v>
      </c>
      <c r="DV20">
        <v>29.126213592233007</v>
      </c>
      <c r="DW20">
        <v>0.625</v>
      </c>
      <c r="DX20">
        <v>0</v>
      </c>
      <c r="DY20">
        <v>0</v>
      </c>
      <c r="DZ20">
        <v>21</v>
      </c>
      <c r="EA20">
        <v>2.5</v>
      </c>
      <c r="EB20">
        <v>11.904761904761903</v>
      </c>
      <c r="EC20">
        <v>2.5</v>
      </c>
      <c r="ED20">
        <v>0.25</v>
      </c>
      <c r="EE20">
        <v>10</v>
      </c>
      <c r="EF20">
        <v>2.375</v>
      </c>
      <c r="EG20">
        <v>0.75</v>
      </c>
      <c r="EH20">
        <v>31.578947368421051</v>
      </c>
      <c r="EI20">
        <v>0.125</v>
      </c>
      <c r="EJ20">
        <v>0.125</v>
      </c>
      <c r="EK20">
        <v>100</v>
      </c>
      <c r="EL20">
        <v>12</v>
      </c>
      <c r="EM20">
        <v>3.875</v>
      </c>
      <c r="EN20">
        <v>32.291666666666671</v>
      </c>
      <c r="EO20">
        <v>3.75</v>
      </c>
      <c r="EP20">
        <v>5.25</v>
      </c>
      <c r="EQ20">
        <v>19.125</v>
      </c>
      <c r="ER20">
        <v>2.25</v>
      </c>
      <c r="ES20">
        <v>7.875</v>
      </c>
      <c r="ET20">
        <v>12.25</v>
      </c>
      <c r="EU20">
        <v>48.625</v>
      </c>
      <c r="EV20">
        <v>19.125</v>
      </c>
      <c r="EW20">
        <v>39.331619537275067</v>
      </c>
      <c r="EX20">
        <v>1.5</v>
      </c>
      <c r="EY20">
        <v>52.75</v>
      </c>
      <c r="EZ20">
        <v>30.25</v>
      </c>
      <c r="FA20">
        <v>57.345971563981045</v>
      </c>
      <c r="FB20">
        <v>30.25</v>
      </c>
      <c r="FC20">
        <v>12.625</v>
      </c>
      <c r="FD20">
        <v>41.735537190082646</v>
      </c>
      <c r="FE20">
        <v>3.125</v>
      </c>
      <c r="FF20">
        <v>1.875</v>
      </c>
      <c r="FG20">
        <v>60</v>
      </c>
      <c r="FH20">
        <v>37.125</v>
      </c>
      <c r="FI20">
        <v>18.875</v>
      </c>
      <c r="FJ20">
        <v>11.625</v>
      </c>
      <c r="FK20">
        <v>3.25</v>
      </c>
      <c r="FL20">
        <v>0.125</v>
      </c>
      <c r="FM20">
        <v>136.75</v>
      </c>
      <c r="FN20">
        <v>103.625</v>
      </c>
      <c r="FO20">
        <v>75.776965265082268</v>
      </c>
      <c r="FP20">
        <v>64.125</v>
      </c>
      <c r="FQ20">
        <v>60.875</v>
      </c>
      <c r="FR20">
        <v>94.931773879142298</v>
      </c>
      <c r="FS20">
        <v>133</v>
      </c>
      <c r="FT20">
        <v>117.625</v>
      </c>
      <c r="FU20">
        <v>88.439849624060145</v>
      </c>
      <c r="FV20">
        <v>38.375</v>
      </c>
      <c r="FW20">
        <v>22</v>
      </c>
      <c r="FX20">
        <v>57.328990228013033</v>
      </c>
      <c r="FY20">
        <v>53.75</v>
      </c>
      <c r="FZ20">
        <v>40.625</v>
      </c>
      <c r="GA20">
        <v>75.581395348837205</v>
      </c>
      <c r="GB20">
        <v>69.625</v>
      </c>
      <c r="GC20">
        <v>51.625</v>
      </c>
      <c r="GD20">
        <v>74.147217235188506</v>
      </c>
      <c r="GE20">
        <v>1.75</v>
      </c>
      <c r="GF20">
        <v>0.875</v>
      </c>
      <c r="GG20">
        <v>50</v>
      </c>
      <c r="GH20">
        <v>15.875</v>
      </c>
      <c r="GI20">
        <v>13.625</v>
      </c>
      <c r="GJ20">
        <v>85.826771653543304</v>
      </c>
      <c r="GK20">
        <v>7.875</v>
      </c>
      <c r="GL20">
        <v>16.301250000000003</v>
      </c>
      <c r="GM20">
        <v>4.11625</v>
      </c>
      <c r="GN20">
        <v>10.481250000000001</v>
      </c>
      <c r="GO20">
        <v>23.561250000000001</v>
      </c>
      <c r="GP20">
        <v>19.627499999999998</v>
      </c>
      <c r="GQ20">
        <v>13.56625</v>
      </c>
      <c r="GR20">
        <f t="shared" si="25"/>
        <v>1.4350000000000003</v>
      </c>
      <c r="GS20">
        <f t="shared" si="26"/>
        <v>0.85750000000000015</v>
      </c>
      <c r="GT20">
        <f t="shared" si="27"/>
        <v>-0.31000000000000028</v>
      </c>
      <c r="GU20">
        <f t="shared" si="28"/>
        <v>0.29749999999999988</v>
      </c>
      <c r="GV20">
        <f t="shared" si="29"/>
        <v>7.125</v>
      </c>
      <c r="GW20">
        <f t="shared" si="30"/>
        <v>4.625</v>
      </c>
      <c r="GX20" s="2">
        <f t="shared" si="31"/>
        <v>0.37453874538745385</v>
      </c>
      <c r="GY20" s="2">
        <f t="shared" si="32"/>
        <v>0.44280442804428044</v>
      </c>
      <c r="GZ20" s="2">
        <f t="shared" si="33"/>
        <v>0.18265682656826568</v>
      </c>
      <c r="HA20">
        <f t="shared" si="34"/>
        <v>0.10159292035398232</v>
      </c>
      <c r="HB20">
        <f t="shared" si="35"/>
        <v>8.8604651162790704E-2</v>
      </c>
    </row>
    <row r="21" spans="1:210" x14ac:dyDescent="0.2">
      <c r="A21" t="s">
        <v>112</v>
      </c>
      <c r="B21">
        <v>1.25</v>
      </c>
      <c r="C21">
        <v>1.3150000000000002</v>
      </c>
      <c r="D21">
        <v>11.75</v>
      </c>
      <c r="E21">
        <v>4</v>
      </c>
      <c r="F21">
        <v>34.042553191489361</v>
      </c>
      <c r="G21">
        <v>406.125</v>
      </c>
      <c r="H21">
        <v>342.375</v>
      </c>
      <c r="I21">
        <v>84.302862419205908</v>
      </c>
      <c r="J21">
        <v>49.611250000000005</v>
      </c>
      <c r="K21">
        <v>97.875</v>
      </c>
      <c r="L21">
        <v>20.125</v>
      </c>
      <c r="M21">
        <v>32.125</v>
      </c>
      <c r="N21">
        <v>45.625</v>
      </c>
      <c r="O21">
        <v>70.125</v>
      </c>
      <c r="P21">
        <v>31.5</v>
      </c>
      <c r="Q21">
        <v>28.5</v>
      </c>
      <c r="R21">
        <v>10.125</v>
      </c>
      <c r="S21">
        <v>163.625</v>
      </c>
      <c r="T21">
        <v>80.625</v>
      </c>
      <c r="U21">
        <v>49.274255156608099</v>
      </c>
      <c r="V21">
        <v>6</v>
      </c>
      <c r="W21">
        <v>1.25</v>
      </c>
      <c r="X21">
        <v>20.833333333333336</v>
      </c>
      <c r="Y21">
        <v>28.125</v>
      </c>
      <c r="Z21">
        <v>7.875</v>
      </c>
      <c r="AA21">
        <v>28.000000000000004</v>
      </c>
      <c r="AB21">
        <v>0.5</v>
      </c>
      <c r="AC21">
        <v>0.125</v>
      </c>
      <c r="AD21">
        <v>25</v>
      </c>
      <c r="AE21">
        <v>25.125</v>
      </c>
      <c r="AF21">
        <v>2.875</v>
      </c>
      <c r="AG21">
        <v>11.442786069651742</v>
      </c>
      <c r="AH21">
        <v>5.25</v>
      </c>
      <c r="AI21">
        <v>1.625</v>
      </c>
      <c r="AJ21">
        <v>30.952380952380953</v>
      </c>
      <c r="AK21">
        <v>1.75</v>
      </c>
      <c r="AL21">
        <v>0.25</v>
      </c>
      <c r="AM21">
        <v>14.285714285714285</v>
      </c>
      <c r="AN21">
        <v>0.125</v>
      </c>
      <c r="AO21">
        <v>0.125</v>
      </c>
      <c r="AP21">
        <v>100</v>
      </c>
      <c r="AQ21">
        <v>8.625</v>
      </c>
      <c r="AR21">
        <v>2.625</v>
      </c>
      <c r="AS21">
        <v>30.434782608695656</v>
      </c>
      <c r="AT21">
        <v>2.25</v>
      </c>
      <c r="AU21">
        <v>7.625</v>
      </c>
      <c r="AV21">
        <v>19.329999999999998</v>
      </c>
      <c r="AW21">
        <v>2.5</v>
      </c>
      <c r="AX21">
        <v>4.125</v>
      </c>
      <c r="AY21">
        <v>14.44</v>
      </c>
      <c r="AZ21">
        <v>54.5</v>
      </c>
      <c r="BA21">
        <v>21.375</v>
      </c>
      <c r="BB21">
        <v>39.220183486238533</v>
      </c>
      <c r="BC21">
        <v>1.25</v>
      </c>
      <c r="BD21">
        <v>58.25</v>
      </c>
      <c r="BE21">
        <v>38.625</v>
      </c>
      <c r="BF21">
        <v>66.309012875536482</v>
      </c>
      <c r="BG21">
        <v>28.25</v>
      </c>
      <c r="BH21">
        <v>11.375</v>
      </c>
      <c r="BI21">
        <v>40.26548672566372</v>
      </c>
      <c r="BJ21">
        <v>1.875</v>
      </c>
      <c r="BK21">
        <v>1.375</v>
      </c>
      <c r="BL21">
        <v>73.333333333333329</v>
      </c>
      <c r="BM21">
        <v>34.25</v>
      </c>
      <c r="BN21">
        <v>14.75</v>
      </c>
      <c r="BO21">
        <v>10.125</v>
      </c>
      <c r="BP21">
        <v>2</v>
      </c>
      <c r="BQ21">
        <v>0.625</v>
      </c>
      <c r="BR21">
        <v>141.75</v>
      </c>
      <c r="BS21">
        <v>105.75</v>
      </c>
      <c r="BT21">
        <v>74.603174603174608</v>
      </c>
      <c r="BU21">
        <v>59.625</v>
      </c>
      <c r="BV21">
        <v>55.375</v>
      </c>
      <c r="BW21">
        <v>92.872117400419285</v>
      </c>
      <c r="BX21">
        <v>129.125</v>
      </c>
      <c r="BY21">
        <v>118.125</v>
      </c>
      <c r="BZ21">
        <v>91.481122942884795</v>
      </c>
      <c r="CA21">
        <v>33.125</v>
      </c>
      <c r="CB21">
        <v>18</v>
      </c>
      <c r="CC21">
        <v>54.339622641509436</v>
      </c>
      <c r="CD21">
        <v>50.5</v>
      </c>
      <c r="CE21">
        <v>36.625</v>
      </c>
      <c r="CF21">
        <v>72.524752475247524</v>
      </c>
      <c r="CG21">
        <v>58.625</v>
      </c>
      <c r="CH21">
        <v>42</v>
      </c>
      <c r="CI21">
        <v>71.641791044776113</v>
      </c>
      <c r="CJ21">
        <v>1.25</v>
      </c>
      <c r="CK21">
        <v>0.75</v>
      </c>
      <c r="CL21">
        <v>60</v>
      </c>
      <c r="CM21">
        <v>16.875</v>
      </c>
      <c r="CN21">
        <v>14.75</v>
      </c>
      <c r="CO21">
        <v>87.407407407407405</v>
      </c>
      <c r="CP21">
        <v>10</v>
      </c>
      <c r="CQ21">
        <v>16.381250000000001</v>
      </c>
      <c r="CR21">
        <v>4.22</v>
      </c>
      <c r="CS21">
        <v>9.32</v>
      </c>
      <c r="CT21">
        <v>20.276249999999997</v>
      </c>
      <c r="CU21">
        <v>17.914999999999999</v>
      </c>
      <c r="CV21">
        <v>12.62</v>
      </c>
      <c r="CW21">
        <v>0.875</v>
      </c>
      <c r="CX21">
        <v>0.87250000000000005</v>
      </c>
      <c r="CY21">
        <v>12.5</v>
      </c>
      <c r="CZ21">
        <v>3.375</v>
      </c>
      <c r="DA21">
        <v>27</v>
      </c>
      <c r="DB21">
        <v>401.625</v>
      </c>
      <c r="DC21">
        <v>337.25</v>
      </c>
      <c r="DD21">
        <v>83.97136632430751</v>
      </c>
      <c r="DE21">
        <v>50.388749999999995</v>
      </c>
      <c r="DF21">
        <v>97.5</v>
      </c>
      <c r="DG21">
        <v>17.875</v>
      </c>
      <c r="DH21">
        <v>34.625</v>
      </c>
      <c r="DI21">
        <v>45</v>
      </c>
      <c r="DJ21">
        <v>77.375</v>
      </c>
      <c r="DK21">
        <v>36.125</v>
      </c>
      <c r="DL21">
        <v>30.125</v>
      </c>
      <c r="DM21">
        <v>11.125</v>
      </c>
      <c r="DN21">
        <v>163.625</v>
      </c>
      <c r="DO21">
        <v>75.25</v>
      </c>
      <c r="DP21">
        <v>45.989304812834227</v>
      </c>
      <c r="DQ21">
        <v>6.75</v>
      </c>
      <c r="DR21">
        <v>1.125</v>
      </c>
      <c r="DS21">
        <v>16.666666666666664</v>
      </c>
      <c r="DT21">
        <v>28.125</v>
      </c>
      <c r="DU21">
        <v>7.625</v>
      </c>
      <c r="DV21">
        <v>27.111111111111114</v>
      </c>
      <c r="DW21">
        <v>0.125</v>
      </c>
      <c r="DX21">
        <v>0</v>
      </c>
      <c r="DY21">
        <v>0</v>
      </c>
      <c r="DZ21">
        <v>23.125</v>
      </c>
      <c r="EA21">
        <v>4.375</v>
      </c>
      <c r="EB21">
        <v>18.918918918918919</v>
      </c>
      <c r="EC21">
        <v>5.625</v>
      </c>
      <c r="ED21">
        <v>2.125</v>
      </c>
      <c r="EE21">
        <v>37.777777777777779</v>
      </c>
      <c r="EF21">
        <v>2.375</v>
      </c>
      <c r="EG21">
        <v>0.625</v>
      </c>
      <c r="EH21">
        <v>26.315789473684209</v>
      </c>
      <c r="EI21">
        <v>0</v>
      </c>
      <c r="EJ21">
        <v>0</v>
      </c>
      <c r="EK21">
        <v>0</v>
      </c>
      <c r="EL21">
        <v>13</v>
      </c>
      <c r="EM21">
        <v>4.5</v>
      </c>
      <c r="EN21">
        <v>34.615384615384613</v>
      </c>
      <c r="EO21">
        <v>4.25</v>
      </c>
      <c r="EP21">
        <v>6.875</v>
      </c>
      <c r="EQ21">
        <v>20.440000000000001</v>
      </c>
      <c r="ER21">
        <v>3.375</v>
      </c>
      <c r="ES21">
        <v>8.125</v>
      </c>
      <c r="ET21">
        <v>14.44</v>
      </c>
      <c r="EU21">
        <v>58.25</v>
      </c>
      <c r="EV21">
        <v>19.625</v>
      </c>
      <c r="EW21">
        <v>33.690987124463518</v>
      </c>
      <c r="EX21">
        <v>2.5</v>
      </c>
      <c r="EY21">
        <v>54.5</v>
      </c>
      <c r="EZ21">
        <v>33.125</v>
      </c>
      <c r="FA21">
        <v>60.779816513761467</v>
      </c>
      <c r="FB21">
        <v>28.25</v>
      </c>
      <c r="FC21">
        <v>13.25</v>
      </c>
      <c r="FD21">
        <v>46.902654867256636</v>
      </c>
      <c r="FE21">
        <v>2.625</v>
      </c>
      <c r="FF21">
        <v>1.625</v>
      </c>
      <c r="FG21">
        <v>61.904761904761905</v>
      </c>
      <c r="FH21">
        <v>36.875</v>
      </c>
      <c r="FI21">
        <v>13.625</v>
      </c>
      <c r="FJ21">
        <v>10.125</v>
      </c>
      <c r="FK21">
        <v>2.75</v>
      </c>
      <c r="FL21">
        <v>0.125</v>
      </c>
      <c r="FM21">
        <v>135.25</v>
      </c>
      <c r="FN21">
        <v>102.125</v>
      </c>
      <c r="FO21">
        <v>75.508317929759698</v>
      </c>
      <c r="FP21">
        <v>58</v>
      </c>
      <c r="FQ21">
        <v>53.875</v>
      </c>
      <c r="FR21">
        <v>92.887931034482762</v>
      </c>
      <c r="FS21">
        <v>146.25</v>
      </c>
      <c r="FT21">
        <v>130</v>
      </c>
      <c r="FU21">
        <v>88.888888888888886</v>
      </c>
      <c r="FV21">
        <v>39.75</v>
      </c>
      <c r="FW21">
        <v>20</v>
      </c>
      <c r="FX21">
        <v>50.314465408805034</v>
      </c>
      <c r="FY21">
        <v>51.75</v>
      </c>
      <c r="FZ21">
        <v>38.875</v>
      </c>
      <c r="GA21">
        <v>75.120772946859901</v>
      </c>
      <c r="GB21">
        <v>68.375</v>
      </c>
      <c r="GC21">
        <v>49.375</v>
      </c>
      <c r="GD21">
        <v>72.212065813528341</v>
      </c>
      <c r="GE21">
        <v>0.625</v>
      </c>
      <c r="GF21">
        <v>0.5</v>
      </c>
      <c r="GG21">
        <v>80</v>
      </c>
      <c r="GH21">
        <v>17.625</v>
      </c>
      <c r="GI21">
        <v>16.375</v>
      </c>
      <c r="GJ21">
        <v>92.907801418439718</v>
      </c>
      <c r="GK21">
        <v>7.375</v>
      </c>
      <c r="GL21">
        <v>16.423749999999998</v>
      </c>
      <c r="GM21">
        <v>4.03</v>
      </c>
      <c r="GN21">
        <v>10.643750000000002</v>
      </c>
      <c r="GO21">
        <v>19.977499999999999</v>
      </c>
      <c r="GP21">
        <v>19.487500000000001</v>
      </c>
      <c r="GQ21">
        <v>12.62875</v>
      </c>
      <c r="GR21">
        <f t="shared" si="25"/>
        <v>1.2200000000000002</v>
      </c>
      <c r="GS21">
        <f t="shared" si="26"/>
        <v>0.87250000000000005</v>
      </c>
      <c r="GT21">
        <f t="shared" si="27"/>
        <v>-6.5000000000000169E-2</v>
      </c>
      <c r="GU21">
        <f t="shared" si="28"/>
        <v>2.4999999999999467E-3</v>
      </c>
      <c r="GV21">
        <f t="shared" si="29"/>
        <v>5.75</v>
      </c>
      <c r="GW21">
        <f t="shared" si="30"/>
        <v>5.75</v>
      </c>
      <c r="GX21" s="2">
        <f t="shared" si="31"/>
        <v>0.44919786096256686</v>
      </c>
      <c r="GY21" s="2">
        <f t="shared" si="32"/>
        <v>0.40641711229946526</v>
      </c>
      <c r="GZ21" s="2">
        <f t="shared" si="33"/>
        <v>0.14438502673796791</v>
      </c>
      <c r="HA21">
        <f t="shared" si="34"/>
        <v>0.1119148936170213</v>
      </c>
      <c r="HB21">
        <f t="shared" si="35"/>
        <v>6.9800000000000001E-2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Restrepo Dávila</dc:creator>
  <cp:lastModifiedBy>Luis Alejandro Restrepo Dávila</cp:lastModifiedBy>
  <dcterms:created xsi:type="dcterms:W3CDTF">2026-02-23T15:07:32Z</dcterms:created>
  <dcterms:modified xsi:type="dcterms:W3CDTF">2026-03-03T01:46:41Z</dcterms:modified>
</cp:coreProperties>
</file>