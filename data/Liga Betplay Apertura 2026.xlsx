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lejandrorestrepo/Library/Mobile Documents/com~apple~CloudDocs/Streamlit Team App/data/"/>
    </mc:Choice>
  </mc:AlternateContent>
  <xr:revisionPtr revIDLastSave="0" documentId="8_{8D3B7415-7E16-4742-AFCA-80EAB09CDC83}" xr6:coauthVersionLast="47" xr6:coauthVersionMax="47" xr10:uidLastSave="{00000000-0000-0000-0000-000000000000}"/>
  <bookViews>
    <workbookView xWindow="280" yWindow="1160" windowWidth="26840" windowHeight="15520" xr2:uid="{541DF241-8C7B-1244-A5E2-BEA7A2A4B003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B21" i="2" l="1"/>
  <c r="HA21" i="2"/>
  <c r="GZ21" i="2"/>
  <c r="GY21" i="2"/>
  <c r="GX21" i="2"/>
  <c r="GW21" i="2"/>
  <c r="GV21" i="2"/>
  <c r="GU21" i="2"/>
  <c r="GT21" i="2"/>
  <c r="GS21" i="2"/>
  <c r="GR21" i="2"/>
  <c r="HB20" i="2"/>
  <c r="HA20" i="2"/>
  <c r="GZ20" i="2"/>
  <c r="GY20" i="2"/>
  <c r="GX20" i="2"/>
  <c r="GW20" i="2"/>
  <c r="GV20" i="2"/>
  <c r="GU20" i="2"/>
  <c r="GT20" i="2"/>
  <c r="GS20" i="2"/>
  <c r="GR20" i="2"/>
  <c r="HB19" i="2"/>
  <c r="HA19" i="2"/>
  <c r="GZ19" i="2"/>
  <c r="GY19" i="2"/>
  <c r="GX19" i="2"/>
  <c r="GW19" i="2"/>
  <c r="GV19" i="2"/>
  <c r="GU19" i="2"/>
  <c r="GT19" i="2"/>
  <c r="GS19" i="2"/>
  <c r="GR19" i="2"/>
  <c r="HB18" i="2"/>
  <c r="HA18" i="2"/>
  <c r="GZ18" i="2"/>
  <c r="GY18" i="2"/>
  <c r="GX18" i="2"/>
  <c r="GW18" i="2"/>
  <c r="GV18" i="2"/>
  <c r="GU18" i="2"/>
  <c r="GT18" i="2"/>
  <c r="GS18" i="2"/>
  <c r="GR18" i="2"/>
  <c r="HB17" i="2"/>
  <c r="HA17" i="2"/>
  <c r="GZ17" i="2"/>
  <c r="GY17" i="2"/>
  <c r="GX17" i="2"/>
  <c r="GW17" i="2"/>
  <c r="GV17" i="2"/>
  <c r="GU17" i="2"/>
  <c r="GT17" i="2"/>
  <c r="GS17" i="2"/>
  <c r="GR17" i="2"/>
  <c r="HB16" i="2"/>
  <c r="HA16" i="2"/>
  <c r="GZ16" i="2"/>
  <c r="GY16" i="2"/>
  <c r="GX16" i="2"/>
  <c r="GW16" i="2"/>
  <c r="GV16" i="2"/>
  <c r="GU16" i="2"/>
  <c r="GT16" i="2"/>
  <c r="GS16" i="2"/>
  <c r="GR16" i="2"/>
  <c r="HB15" i="2"/>
  <c r="HA15" i="2"/>
  <c r="GZ15" i="2"/>
  <c r="GY15" i="2"/>
  <c r="GX15" i="2"/>
  <c r="GW15" i="2"/>
  <c r="GV15" i="2"/>
  <c r="GU15" i="2"/>
  <c r="GT15" i="2"/>
  <c r="GS15" i="2"/>
  <c r="GR15" i="2"/>
  <c r="HB14" i="2"/>
  <c r="HA14" i="2"/>
  <c r="GZ14" i="2"/>
  <c r="GY14" i="2"/>
  <c r="GX14" i="2"/>
  <c r="GW14" i="2"/>
  <c r="GV14" i="2"/>
  <c r="GU14" i="2"/>
  <c r="GT14" i="2"/>
  <c r="GS14" i="2"/>
  <c r="GR14" i="2"/>
  <c r="HB13" i="2"/>
  <c r="HA13" i="2"/>
  <c r="GZ13" i="2"/>
  <c r="GY13" i="2"/>
  <c r="GX13" i="2"/>
  <c r="GW13" i="2"/>
  <c r="GV13" i="2"/>
  <c r="GU13" i="2"/>
  <c r="GT13" i="2"/>
  <c r="GS13" i="2"/>
  <c r="GR13" i="2"/>
  <c r="HB12" i="2"/>
  <c r="HA12" i="2"/>
  <c r="GZ12" i="2"/>
  <c r="GY12" i="2"/>
  <c r="GX12" i="2"/>
  <c r="GW12" i="2"/>
  <c r="GV12" i="2"/>
  <c r="GU12" i="2"/>
  <c r="GT12" i="2"/>
  <c r="GS12" i="2"/>
  <c r="GR12" i="2"/>
  <c r="HB11" i="2"/>
  <c r="HA11" i="2"/>
  <c r="GZ11" i="2"/>
  <c r="GY11" i="2"/>
  <c r="GX11" i="2"/>
  <c r="GW11" i="2"/>
  <c r="GV11" i="2"/>
  <c r="GU11" i="2"/>
  <c r="GT11" i="2"/>
  <c r="GS11" i="2"/>
  <c r="GR11" i="2"/>
  <c r="HB10" i="2"/>
  <c r="HA10" i="2"/>
  <c r="GZ10" i="2"/>
  <c r="GY10" i="2"/>
  <c r="GX10" i="2"/>
  <c r="GW10" i="2"/>
  <c r="GV10" i="2"/>
  <c r="GU10" i="2"/>
  <c r="GT10" i="2"/>
  <c r="GS10" i="2"/>
  <c r="GR10" i="2"/>
  <c r="HB9" i="2"/>
  <c r="HA9" i="2"/>
  <c r="GZ9" i="2"/>
  <c r="GY9" i="2"/>
  <c r="GX9" i="2"/>
  <c r="GW9" i="2"/>
  <c r="GV9" i="2"/>
  <c r="GU9" i="2"/>
  <c r="GT9" i="2"/>
  <c r="GS9" i="2"/>
  <c r="GR9" i="2"/>
  <c r="HB8" i="2"/>
  <c r="HA8" i="2"/>
  <c r="GZ8" i="2"/>
  <c r="GY8" i="2"/>
  <c r="GX8" i="2"/>
  <c r="GW8" i="2"/>
  <c r="GV8" i="2"/>
  <c r="GU8" i="2"/>
  <c r="GT8" i="2"/>
  <c r="GS8" i="2"/>
  <c r="GR8" i="2"/>
  <c r="HB7" i="2"/>
  <c r="HA7" i="2"/>
  <c r="GZ7" i="2"/>
  <c r="GY7" i="2"/>
  <c r="GX7" i="2"/>
  <c r="GW7" i="2"/>
  <c r="GV7" i="2"/>
  <c r="GU7" i="2"/>
  <c r="GT7" i="2"/>
  <c r="GS7" i="2"/>
  <c r="GR7" i="2"/>
  <c r="HB6" i="2"/>
  <c r="HA6" i="2"/>
  <c r="GZ6" i="2"/>
  <c r="GY6" i="2"/>
  <c r="GX6" i="2"/>
  <c r="GW6" i="2"/>
  <c r="GV6" i="2"/>
  <c r="GU6" i="2"/>
  <c r="GT6" i="2"/>
  <c r="GS6" i="2"/>
  <c r="GR6" i="2"/>
  <c r="HB5" i="2"/>
  <c r="HA5" i="2"/>
  <c r="GZ5" i="2"/>
  <c r="GY5" i="2"/>
  <c r="GX5" i="2"/>
  <c r="GW5" i="2"/>
  <c r="GV5" i="2"/>
  <c r="GU5" i="2"/>
  <c r="GT5" i="2"/>
  <c r="GS5" i="2"/>
  <c r="GR5" i="2"/>
  <c r="HB4" i="2"/>
  <c r="HA4" i="2"/>
  <c r="GZ4" i="2"/>
  <c r="GY4" i="2"/>
  <c r="GX4" i="2"/>
  <c r="GW4" i="2"/>
  <c r="GV4" i="2"/>
  <c r="GU4" i="2"/>
  <c r="GT4" i="2"/>
  <c r="GS4" i="2"/>
  <c r="GR4" i="2"/>
  <c r="HB3" i="2"/>
  <c r="HA3" i="2"/>
  <c r="GZ3" i="2"/>
  <c r="GY3" i="2"/>
  <c r="GX3" i="2"/>
  <c r="GW3" i="2"/>
  <c r="GV3" i="2"/>
  <c r="GU3" i="2"/>
  <c r="GT3" i="2"/>
  <c r="GS3" i="2"/>
  <c r="GR3" i="2"/>
  <c r="HB2" i="2"/>
  <c r="HA2" i="2"/>
  <c r="GZ2" i="2"/>
  <c r="GY2" i="2"/>
  <c r="GX2" i="2"/>
  <c r="GW2" i="2"/>
  <c r="GV2" i="2"/>
  <c r="GU2" i="2"/>
  <c r="GT2" i="2"/>
  <c r="GS2" i="2"/>
  <c r="GR2" i="2"/>
  <c r="GQ1" i="2"/>
  <c r="GP1" i="2"/>
  <c r="GO1" i="2"/>
  <c r="GN1" i="2"/>
  <c r="GM1" i="2"/>
  <c r="GL1" i="2"/>
  <c r="GK1" i="2"/>
  <c r="GJ1" i="2"/>
  <c r="GI1" i="2"/>
  <c r="GH1" i="2"/>
  <c r="GG1" i="2"/>
  <c r="GF1" i="2"/>
  <c r="GE1" i="2"/>
  <c r="GD1" i="2"/>
  <c r="GC1" i="2"/>
  <c r="GB1" i="2"/>
  <c r="GA1" i="2"/>
  <c r="FZ1" i="2"/>
  <c r="FY1" i="2"/>
  <c r="FX1" i="2"/>
  <c r="FW1" i="2"/>
  <c r="FV1" i="2"/>
  <c r="FU1" i="2"/>
  <c r="FT1" i="2"/>
  <c r="FS1" i="2"/>
  <c r="FR1" i="2"/>
  <c r="FQ1" i="2"/>
  <c r="FP1" i="2"/>
  <c r="FO1" i="2"/>
  <c r="FN1" i="2"/>
  <c r="FM1" i="2"/>
  <c r="FL1" i="2"/>
  <c r="FK1" i="2"/>
  <c r="FJ1" i="2"/>
  <c r="FI1" i="2"/>
  <c r="FH1" i="2"/>
  <c r="FG1" i="2"/>
  <c r="FF1" i="2"/>
  <c r="FE1" i="2"/>
  <c r="FD1" i="2"/>
  <c r="FC1" i="2"/>
  <c r="FB1" i="2"/>
  <c r="FA1" i="2"/>
  <c r="EZ1" i="2"/>
  <c r="EY1" i="2"/>
  <c r="EX1" i="2"/>
  <c r="EW1" i="2"/>
  <c r="EV1" i="2"/>
  <c r="EU1" i="2"/>
  <c r="ET1" i="2"/>
  <c r="ES1" i="2"/>
  <c r="ER1" i="2"/>
  <c r="EQ1" i="2"/>
  <c r="EP1" i="2"/>
  <c r="EO1" i="2"/>
  <c r="EN1" i="2"/>
  <c r="EM1" i="2"/>
  <c r="EL1" i="2"/>
  <c r="EK1" i="2"/>
  <c r="EJ1" i="2"/>
  <c r="EI1" i="2"/>
  <c r="EH1" i="2"/>
  <c r="EG1" i="2"/>
  <c r="EF1" i="2"/>
  <c r="EE1" i="2"/>
  <c r="ED1" i="2"/>
  <c r="EC1" i="2"/>
  <c r="EB1" i="2"/>
  <c r="EA1" i="2"/>
  <c r="DZ1" i="2"/>
  <c r="DY1" i="2"/>
  <c r="DX1" i="2"/>
  <c r="DW1" i="2"/>
  <c r="DV1" i="2"/>
  <c r="DU1" i="2"/>
  <c r="DT1" i="2"/>
  <c r="DS1" i="2"/>
  <c r="DR1" i="2"/>
  <c r="DQ1" i="2"/>
  <c r="DP1" i="2"/>
  <c r="DO1" i="2"/>
  <c r="DN1" i="2"/>
  <c r="DM1" i="2"/>
  <c r="DL1" i="2"/>
  <c r="DK1" i="2"/>
  <c r="DJ1" i="2"/>
  <c r="DI1" i="2"/>
  <c r="DH1" i="2"/>
  <c r="DG1" i="2"/>
  <c r="DF1" i="2"/>
  <c r="DE1" i="2"/>
  <c r="DD1" i="2"/>
  <c r="DC1" i="2"/>
  <c r="DB1" i="2"/>
  <c r="DA1" i="2"/>
  <c r="CZ1" i="2"/>
  <c r="CY1" i="2"/>
  <c r="CX1" i="2"/>
  <c r="CW1" i="2"/>
</calcChain>
</file>

<file path=xl/sharedStrings.xml><?xml version="1.0" encoding="utf-8"?>
<sst xmlns="http://schemas.openxmlformats.org/spreadsheetml/2006/main" count="131" uniqueCount="131">
  <si>
    <t>Teams</t>
  </si>
  <si>
    <t>Goles</t>
  </si>
  <si>
    <t>xG</t>
  </si>
  <si>
    <t>Remates</t>
  </si>
  <si>
    <t>Remates al arco</t>
  </si>
  <si>
    <t>% Remates al arco</t>
  </si>
  <si>
    <t xml:space="preserve">Pases </t>
  </si>
  <si>
    <t>Pases Acertados</t>
  </si>
  <si>
    <t>% Pases Acertados</t>
  </si>
  <si>
    <t>Posesión del balón, %</t>
  </si>
  <si>
    <t>Perdidas</t>
  </si>
  <si>
    <t>Perdidas bajas</t>
  </si>
  <si>
    <t>Perdidas Medias</t>
  </si>
  <si>
    <t>Perdidas Altas</t>
  </si>
  <si>
    <t>Recuperaciones</t>
  </si>
  <si>
    <t>Recuperaciones Bajas</t>
  </si>
  <si>
    <t>Recuperaciones Medias</t>
  </si>
  <si>
    <t>Recuperaciones Altas</t>
  </si>
  <si>
    <t>Duelos</t>
  </si>
  <si>
    <t>Duelos ganados</t>
  </si>
  <si>
    <t>% Duelos Ganados</t>
  </si>
  <si>
    <t xml:space="preserve">Remates de fuera del área </t>
  </si>
  <si>
    <t>Remates de fuera del área al arco</t>
  </si>
  <si>
    <t>% Remates de fuera del área al arco</t>
  </si>
  <si>
    <t>Ataques posicionales</t>
  </si>
  <si>
    <t>Ataques posicionales con remate</t>
  </si>
  <si>
    <t>% Ataques posicionales con remate</t>
  </si>
  <si>
    <t>Contraataques</t>
  </si>
  <si>
    <t>Contraataques con remate</t>
  </si>
  <si>
    <t>% Contraataques con remate</t>
  </si>
  <si>
    <t>Jugadas a balón parado</t>
  </si>
  <si>
    <t>Jugadas a balón parado con remate</t>
  </si>
  <si>
    <t>% Jugadas a balón parado con remate</t>
  </si>
  <si>
    <t>Córneres</t>
  </si>
  <si>
    <t>Córneres con remate</t>
  </si>
  <si>
    <t>%, Córneres con remate</t>
  </si>
  <si>
    <t>Tiros libres</t>
  </si>
  <si>
    <t>Tiros libres con remate</t>
  </si>
  <si>
    <t>% Tiros libres con remate</t>
  </si>
  <si>
    <t>Penaltis</t>
  </si>
  <si>
    <t>Penaltis Marcados</t>
  </si>
  <si>
    <t>% Penaltis Marcados</t>
  </si>
  <si>
    <t>Centros</t>
  </si>
  <si>
    <t>Centros precisos</t>
  </si>
  <si>
    <t>% Centros Precisos</t>
  </si>
  <si>
    <t>Pases cruzados en profundidad completados</t>
  </si>
  <si>
    <t>Pases en profundidad completados</t>
  </si>
  <si>
    <t>Entradas al área de penalti</t>
  </si>
  <si>
    <t>Entradas al área de penalti (carreras)</t>
  </si>
  <si>
    <t>Entradas al área de penalti (pases cruzados)</t>
  </si>
  <si>
    <t>Toques en el área de penalti</t>
  </si>
  <si>
    <t>Duelos ofensivos</t>
  </si>
  <si>
    <t>Duelos ofensivos ganados</t>
  </si>
  <si>
    <t>% Duelos ofensivos ganados</t>
  </si>
  <si>
    <t>Fuera de juego</t>
  </si>
  <si>
    <t>Duelos defensivos</t>
  </si>
  <si>
    <t>Duelos defensivos ganados</t>
  </si>
  <si>
    <t>% Duelos defensivos ganados</t>
  </si>
  <si>
    <t xml:space="preserve">Duelos aéreos </t>
  </si>
  <si>
    <t>Duelos aéreos ganados</t>
  </si>
  <si>
    <t>% Duelos aéreos ganados</t>
  </si>
  <si>
    <t xml:space="preserve">Entradas a ras de suelo </t>
  </si>
  <si>
    <t>Entradas a ras de suelo logradas</t>
  </si>
  <si>
    <t>% Entradas a ras de suelo logradas</t>
  </si>
  <si>
    <t>Interceptaciones</t>
  </si>
  <si>
    <t>Despejes</t>
  </si>
  <si>
    <t>Faltas</t>
  </si>
  <si>
    <t>Tarjetas amarillas</t>
  </si>
  <si>
    <t>Tarjetas rojas</t>
  </si>
  <si>
    <t xml:space="preserve">Pases hacia adelante </t>
  </si>
  <si>
    <t>Pases hacia adelante logrados</t>
  </si>
  <si>
    <t>% Pases hacia adelante logrados</t>
  </si>
  <si>
    <t xml:space="preserve">Pases hacia atrás </t>
  </si>
  <si>
    <t>Pases hacia atrás logrados</t>
  </si>
  <si>
    <t>% Pases hacia atrás logrados</t>
  </si>
  <si>
    <t xml:space="preserve">Pases laterales </t>
  </si>
  <si>
    <t>Pases laterales logrados</t>
  </si>
  <si>
    <t>% Pases laterales logrados</t>
  </si>
  <si>
    <t xml:space="preserve">Pases largos </t>
  </si>
  <si>
    <t>Pases largos llogrados</t>
  </si>
  <si>
    <t>% Pases largos logrados</t>
  </si>
  <si>
    <t xml:space="preserve">Pases en el último tercio </t>
  </si>
  <si>
    <t>Pases en el último tercio logrados</t>
  </si>
  <si>
    <t>% Pases en el último tercio logrados</t>
  </si>
  <si>
    <t xml:space="preserve">Pases progresivos </t>
  </si>
  <si>
    <t>Pases progresivos precisos</t>
  </si>
  <si>
    <t>% Pases progresivos precisos</t>
  </si>
  <si>
    <t xml:space="preserve">Desmarques </t>
  </si>
  <si>
    <t>Desmarques logrados</t>
  </si>
  <si>
    <t>% Desmarques logrados</t>
  </si>
  <si>
    <t xml:space="preserve">Saques laterales </t>
  </si>
  <si>
    <t>Saques laterales logrados</t>
  </si>
  <si>
    <t>% Saques laterales logrados</t>
  </si>
  <si>
    <t>Saques de meta</t>
  </si>
  <si>
    <t>Intensidad de paso</t>
  </si>
  <si>
    <t>Promedio pases por posesión del balón</t>
  </si>
  <si>
    <t>Lanzamiento largo %</t>
  </si>
  <si>
    <t>Distancia media de tiro</t>
  </si>
  <si>
    <t>Longitud media pases</t>
  </si>
  <si>
    <t>PPDA</t>
  </si>
  <si>
    <t>Non Penalty xG</t>
  </si>
  <si>
    <t>Non Penalty xG_Rival</t>
  </si>
  <si>
    <t>Goles-Goles Esperados</t>
  </si>
  <si>
    <t>Goles en Contra - Goles Esperados en Contra</t>
  </si>
  <si>
    <t>Remates dentro del Area</t>
  </si>
  <si>
    <t>Remates dentro del Area_Rival</t>
  </si>
  <si>
    <t>% Recuperaciones Bajas</t>
  </si>
  <si>
    <t>% Recuperaciones Medias</t>
  </si>
  <si>
    <t>% Recuperaciones Altas</t>
  </si>
  <si>
    <t>xG por Remate</t>
  </si>
  <si>
    <t>xG por Remate_Rival</t>
  </si>
  <si>
    <t>Águilas Doradas</t>
  </si>
  <si>
    <t>Alianza</t>
  </si>
  <si>
    <t>América de Cali</t>
  </si>
  <si>
    <t>Atlético Bucaramanga</t>
  </si>
  <si>
    <t>Atlético Nacional</t>
  </si>
  <si>
    <t>Boyacá Chicó</t>
  </si>
  <si>
    <t>Cúcuta Deportivo</t>
  </si>
  <si>
    <t>Deportivo Cali</t>
  </si>
  <si>
    <t>Deportivo Pasto</t>
  </si>
  <si>
    <t>Deportivo Pereira</t>
  </si>
  <si>
    <t>Fortaleza</t>
  </si>
  <si>
    <t>Inter Bogotá</t>
  </si>
  <si>
    <t>Jaguares de Córdoba</t>
  </si>
  <si>
    <t>Junior</t>
  </si>
  <si>
    <t>Llaneros</t>
  </si>
  <si>
    <t>Medellín</t>
  </si>
  <si>
    <t>Millonarios</t>
  </si>
  <si>
    <t>Once Caldas</t>
  </si>
  <si>
    <t>Santa Fe</t>
  </si>
  <si>
    <t>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</si>
</sst>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15D6-EF41-F34C-834B-82F5779837C1}">
  <dimension ref="A1:HB21"/>
  <sheetViews>
    <sheetView tabSelected="1" workbookViewId="0">
      <selection activeCell="F23" sqref="F23"/>
    </sheetView>
  </sheetViews>
  <sheetFormatPr baseColWidth="10" defaultRowHeight="16" x14ac:dyDescent="0.2"/>
  <cols>
    <col min="1" max="1" width="14" bestFit="1" customWidth="1"/>
  </cols>
  <sheetData>
    <row r="1" spans="1:2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tr">
        <f>B1&amp;"_rival"</f>
        <v>Goles_rival</v>
      </c>
      <c r="CX1" t="str">
        <f t="shared" ref="CX1:FI1" si="0">C1&amp;"_rival"</f>
        <v>xG_rival</v>
      </c>
      <c r="CY1" t="str">
        <f t="shared" si="0"/>
        <v>Remates_rival</v>
      </c>
      <c r="CZ1" t="str">
        <f t="shared" si="0"/>
        <v>Remates al arco_rival</v>
      </c>
      <c r="DA1" t="str">
        <f t="shared" si="0"/>
        <v>% Remates al arco_rival</v>
      </c>
      <c r="DB1" t="str">
        <f t="shared" si="0"/>
        <v>Pases _rival</v>
      </c>
      <c r="DC1" t="str">
        <f t="shared" si="0"/>
        <v>Pases Acertados_rival</v>
      </c>
      <c r="DD1" t="str">
        <f t="shared" si="0"/>
        <v>% Pases Acertados_rival</v>
      </c>
      <c r="DE1" t="str">
        <f t="shared" si="0"/>
        <v>Posesión del balón, %_rival</v>
      </c>
      <c r="DF1" t="str">
        <f t="shared" si="0"/>
        <v>Perdidas_rival</v>
      </c>
      <c r="DG1" t="str">
        <f t="shared" si="0"/>
        <v>Perdidas bajas_rival</v>
      </c>
      <c r="DH1" t="str">
        <f t="shared" si="0"/>
        <v>Perdidas Medias_rival</v>
      </c>
      <c r="DI1" t="str">
        <f t="shared" si="0"/>
        <v>Perdidas Altas_rival</v>
      </c>
      <c r="DJ1" t="str">
        <f t="shared" si="0"/>
        <v>Recuperaciones_rival</v>
      </c>
      <c r="DK1" t="str">
        <f t="shared" si="0"/>
        <v>Recuperaciones Bajas_rival</v>
      </c>
      <c r="DL1" t="str">
        <f t="shared" si="0"/>
        <v>Recuperaciones Medias_rival</v>
      </c>
      <c r="DM1" t="str">
        <f t="shared" si="0"/>
        <v>Recuperaciones Altas_rival</v>
      </c>
      <c r="DN1" t="str">
        <f t="shared" si="0"/>
        <v>Duelos_rival</v>
      </c>
      <c r="DO1" t="str">
        <f t="shared" si="0"/>
        <v>Duelos ganados_rival</v>
      </c>
      <c r="DP1" t="str">
        <f t="shared" si="0"/>
        <v>% Duelos Ganados_rival</v>
      </c>
      <c r="DQ1" t="str">
        <f t="shared" si="0"/>
        <v>Remates de fuera del área _rival</v>
      </c>
      <c r="DR1" t="str">
        <f t="shared" si="0"/>
        <v>Remates de fuera del área al arco_rival</v>
      </c>
      <c r="DS1" t="str">
        <f t="shared" si="0"/>
        <v>% Remates de fuera del área al arco_rival</v>
      </c>
      <c r="DT1" t="str">
        <f t="shared" si="0"/>
        <v>Ataques posicionales_rival</v>
      </c>
      <c r="DU1" t="str">
        <f t="shared" si="0"/>
        <v>Ataques posicionales con remate_rival</v>
      </c>
      <c r="DV1" t="str">
        <f t="shared" si="0"/>
        <v>% Ataques posicionales con remate_rival</v>
      </c>
      <c r="DW1" t="str">
        <f t="shared" si="0"/>
        <v>Contraataques_rival</v>
      </c>
      <c r="DX1" t="str">
        <f t="shared" si="0"/>
        <v>Contraataques con remate_rival</v>
      </c>
      <c r="DY1" t="str">
        <f t="shared" si="0"/>
        <v>% Contraataques con remate_rival</v>
      </c>
      <c r="DZ1" t="str">
        <f t="shared" si="0"/>
        <v>Jugadas a balón parado_rival</v>
      </c>
      <c r="EA1" t="str">
        <f t="shared" si="0"/>
        <v>Jugadas a balón parado con remate_rival</v>
      </c>
      <c r="EB1" t="str">
        <f t="shared" si="0"/>
        <v>% Jugadas a balón parado con remate_rival</v>
      </c>
      <c r="EC1" t="str">
        <f t="shared" si="0"/>
        <v>Córneres_rival</v>
      </c>
      <c r="ED1" t="str">
        <f t="shared" si="0"/>
        <v>Córneres con remate_rival</v>
      </c>
      <c r="EE1" t="str">
        <f t="shared" si="0"/>
        <v>%, Córneres con remate_rival</v>
      </c>
      <c r="EF1" t="str">
        <f t="shared" si="0"/>
        <v>Tiros libres_rival</v>
      </c>
      <c r="EG1" t="str">
        <f t="shared" si="0"/>
        <v>Tiros libres con remate_rival</v>
      </c>
      <c r="EH1" t="str">
        <f t="shared" si="0"/>
        <v>% Tiros libres con remate_rival</v>
      </c>
      <c r="EI1" t="str">
        <f t="shared" si="0"/>
        <v>Penaltis_rival</v>
      </c>
      <c r="EJ1" t="str">
        <f t="shared" si="0"/>
        <v>Penaltis Marcados_rival</v>
      </c>
      <c r="EK1" t="str">
        <f t="shared" si="0"/>
        <v>% Penaltis Marcados_rival</v>
      </c>
      <c r="EL1" t="str">
        <f t="shared" si="0"/>
        <v>Centros_rival</v>
      </c>
      <c r="EM1" t="str">
        <f t="shared" si="0"/>
        <v>Centros precisos_rival</v>
      </c>
      <c r="EN1" t="str">
        <f t="shared" si="0"/>
        <v>% Centros Precisos_rival</v>
      </c>
      <c r="EO1" t="str">
        <f t="shared" si="0"/>
        <v>Pases cruzados en profundidad completados_rival</v>
      </c>
      <c r="EP1" t="str">
        <f t="shared" si="0"/>
        <v>Pases en profundidad completados_rival</v>
      </c>
      <c r="EQ1" t="str">
        <f t="shared" si="0"/>
        <v>Entradas al área de penalti_rival</v>
      </c>
      <c r="ER1" t="str">
        <f t="shared" si="0"/>
        <v>Entradas al área de penalti (carreras)_rival</v>
      </c>
      <c r="ES1" t="str">
        <f t="shared" si="0"/>
        <v>Entradas al área de penalti (pases cruzados)_rival</v>
      </c>
      <c r="ET1" t="str">
        <f t="shared" si="0"/>
        <v>Toques en el área de penalti_rival</v>
      </c>
      <c r="EU1" t="str">
        <f t="shared" si="0"/>
        <v>Duelos ofensivos_rival</v>
      </c>
      <c r="EV1" t="str">
        <f t="shared" si="0"/>
        <v>Duelos ofensivos ganados_rival</v>
      </c>
      <c r="EW1" t="str">
        <f t="shared" si="0"/>
        <v>% Duelos ofensivos ganados_rival</v>
      </c>
      <c r="EX1" t="str">
        <f t="shared" si="0"/>
        <v>Fuera de juego_rival</v>
      </c>
      <c r="EY1" t="str">
        <f t="shared" si="0"/>
        <v>Duelos defensivos_rival</v>
      </c>
      <c r="EZ1" t="str">
        <f t="shared" si="0"/>
        <v>Duelos defensivos ganados_rival</v>
      </c>
      <c r="FA1" t="str">
        <f t="shared" si="0"/>
        <v>% Duelos defensivos ganados_rival</v>
      </c>
      <c r="FB1" t="str">
        <f t="shared" si="0"/>
        <v>Duelos aéreos _rival</v>
      </c>
      <c r="FC1" t="str">
        <f t="shared" si="0"/>
        <v>Duelos aéreos ganados_rival</v>
      </c>
      <c r="FD1" t="str">
        <f t="shared" si="0"/>
        <v>% Duelos aéreos ganados_rival</v>
      </c>
      <c r="FE1" t="str">
        <f t="shared" si="0"/>
        <v>Entradas a ras de suelo _rival</v>
      </c>
      <c r="FF1" t="str">
        <f t="shared" si="0"/>
        <v>Entradas a ras de suelo logradas_rival</v>
      </c>
      <c r="FG1" t="str">
        <f t="shared" si="0"/>
        <v>% Entradas a ras de suelo logradas_rival</v>
      </c>
      <c r="FH1" t="str">
        <f t="shared" si="0"/>
        <v>Interceptaciones_rival</v>
      </c>
      <c r="FI1" t="str">
        <f t="shared" si="0"/>
        <v>Despejes_rival</v>
      </c>
      <c r="FJ1" t="str">
        <f t="shared" ref="FJ1:GQ1" si="1">BO1&amp;"_rival"</f>
        <v>Faltas_rival</v>
      </c>
      <c r="FK1" t="str">
        <f t="shared" si="1"/>
        <v>Tarjetas amarillas_rival</v>
      </c>
      <c r="FL1" t="str">
        <f t="shared" si="1"/>
        <v>Tarjetas rojas_rival</v>
      </c>
      <c r="FM1" t="str">
        <f t="shared" si="1"/>
        <v>Pases hacia adelante _rival</v>
      </c>
      <c r="FN1" t="str">
        <f t="shared" si="1"/>
        <v>Pases hacia adelante logrados_rival</v>
      </c>
      <c r="FO1" t="str">
        <f t="shared" si="1"/>
        <v>% Pases hacia adelante logrados_rival</v>
      </c>
      <c r="FP1" t="str">
        <f t="shared" si="1"/>
        <v>Pases hacia atrás _rival</v>
      </c>
      <c r="FQ1" t="str">
        <f t="shared" si="1"/>
        <v>Pases hacia atrás logrados_rival</v>
      </c>
      <c r="FR1" t="str">
        <f t="shared" si="1"/>
        <v>% Pases hacia atrás logrados_rival</v>
      </c>
      <c r="FS1" t="str">
        <f t="shared" si="1"/>
        <v>Pases laterales _rival</v>
      </c>
      <c r="FT1" t="str">
        <f t="shared" si="1"/>
        <v>Pases laterales logrados_rival</v>
      </c>
      <c r="FU1" t="str">
        <f t="shared" si="1"/>
        <v>% Pases laterales logrados_rival</v>
      </c>
      <c r="FV1" t="str">
        <f t="shared" si="1"/>
        <v>Pases largos _rival</v>
      </c>
      <c r="FW1" t="str">
        <f t="shared" si="1"/>
        <v>Pases largos llogrados_rival</v>
      </c>
      <c r="FX1" t="str">
        <f t="shared" si="1"/>
        <v>% Pases largos logrados_rival</v>
      </c>
      <c r="FY1" t="str">
        <f t="shared" si="1"/>
        <v>Pases en el último tercio _rival</v>
      </c>
      <c r="FZ1" t="str">
        <f t="shared" si="1"/>
        <v>Pases en el último tercio logrados_rival</v>
      </c>
      <c r="GA1" t="str">
        <f t="shared" si="1"/>
        <v>% Pases en el último tercio logrados_rival</v>
      </c>
      <c r="GB1" t="str">
        <f t="shared" si="1"/>
        <v>Pases progresivos _rival</v>
      </c>
      <c r="GC1" t="str">
        <f t="shared" si="1"/>
        <v>Pases progresivos precisos_rival</v>
      </c>
      <c r="GD1" t="str">
        <f t="shared" si="1"/>
        <v>% Pases progresivos precisos_rival</v>
      </c>
      <c r="GE1" t="str">
        <f t="shared" si="1"/>
        <v>Desmarques _rival</v>
      </c>
      <c r="GF1" t="str">
        <f t="shared" si="1"/>
        <v>Desmarques logrados_rival</v>
      </c>
      <c r="GG1" t="str">
        <f t="shared" si="1"/>
        <v>% Desmarques logrados_rival</v>
      </c>
      <c r="GH1" t="str">
        <f t="shared" si="1"/>
        <v>Saques laterales _rival</v>
      </c>
      <c r="GI1" t="str">
        <f t="shared" si="1"/>
        <v>Saques laterales logrados_rival</v>
      </c>
      <c r="GJ1" t="str">
        <f t="shared" si="1"/>
        <v>% Saques laterales logrados_rival</v>
      </c>
      <c r="GK1" t="str">
        <f t="shared" si="1"/>
        <v>Saques de meta_rival</v>
      </c>
      <c r="GL1" t="str">
        <f t="shared" si="1"/>
        <v>Intensidad de paso_rival</v>
      </c>
      <c r="GM1" t="str">
        <f t="shared" si="1"/>
        <v>Promedio pases por posesión del balón_rival</v>
      </c>
      <c r="GN1" t="str">
        <f t="shared" si="1"/>
        <v>Lanzamiento largo %_rival</v>
      </c>
      <c r="GO1" t="str">
        <f t="shared" si="1"/>
        <v>Distancia media de tiro_rival</v>
      </c>
      <c r="GP1" t="str">
        <f t="shared" si="1"/>
        <v>Longitud media pases_rival</v>
      </c>
      <c r="GQ1" t="str">
        <f t="shared" si="1"/>
        <v>PPDA_rival</v>
      </c>
      <c r="GR1" t="s">
        <v>100</v>
      </c>
      <c r="GS1" t="s">
        <v>101</v>
      </c>
      <c r="GT1" t="s">
        <v>102</v>
      </c>
      <c r="GU1" t="s">
        <v>103</v>
      </c>
      <c r="GV1" t="s">
        <v>104</v>
      </c>
      <c r="GW1" t="s">
        <v>105</v>
      </c>
      <c r="GX1" t="s">
        <v>106</v>
      </c>
      <c r="GY1" t="s">
        <v>107</v>
      </c>
      <c r="GZ1" t="s">
        <v>108</v>
      </c>
      <c r="HA1" t="s">
        <v>109</v>
      </c>
      <c r="HB1" t="s">
        <v>110</v>
      </c>
    </row>
    <row r="2" spans="1:210" x14ac:dyDescent="0.2">
      <c r="A2" s="1" t="s">
        <v>111</v>
      </c>
      <c r="B2">
        <v>1.125</v>
      </c>
      <c r="C2">
        <v>1.4412499999999999</v>
      </c>
      <c r="D2">
        <v>11.625</v>
      </c>
      <c r="E2">
        <v>3.75</v>
      </c>
      <c r="F2">
        <v>32.258064516129032</v>
      </c>
      <c r="G2">
        <v>333.875</v>
      </c>
      <c r="H2">
        <v>266.625</v>
      </c>
      <c r="I2">
        <v>79.857731186821411</v>
      </c>
      <c r="J2">
        <v>49.77000000000001</v>
      </c>
      <c r="K2">
        <v>108.125</v>
      </c>
      <c r="L2">
        <v>18.25</v>
      </c>
      <c r="M2">
        <v>36.75</v>
      </c>
      <c r="N2">
        <v>53.125</v>
      </c>
      <c r="O2">
        <v>79.625</v>
      </c>
      <c r="P2">
        <v>37.125</v>
      </c>
      <c r="Q2">
        <v>30.5</v>
      </c>
      <c r="R2">
        <v>12</v>
      </c>
      <c r="S2">
        <v>181.125</v>
      </c>
      <c r="T2">
        <v>85.75</v>
      </c>
      <c r="U2">
        <v>47.342995169082123</v>
      </c>
      <c r="V2">
        <v>4.75</v>
      </c>
      <c r="W2">
        <v>1</v>
      </c>
      <c r="X2">
        <v>21.052631578947366</v>
      </c>
      <c r="Y2">
        <v>24.625</v>
      </c>
      <c r="Z2">
        <v>6.75</v>
      </c>
      <c r="AA2">
        <v>27.411167512690355</v>
      </c>
      <c r="AB2">
        <v>1.375</v>
      </c>
      <c r="AC2">
        <v>0.5</v>
      </c>
      <c r="AD2">
        <v>36.363636363636367</v>
      </c>
      <c r="AE2">
        <v>24.25</v>
      </c>
      <c r="AF2">
        <v>4</v>
      </c>
      <c r="AG2">
        <v>16.494845360824741</v>
      </c>
      <c r="AH2">
        <v>5</v>
      </c>
      <c r="AI2">
        <v>1.875</v>
      </c>
      <c r="AJ2">
        <v>37.5</v>
      </c>
      <c r="AK2">
        <v>2.875</v>
      </c>
      <c r="AL2">
        <v>0.875</v>
      </c>
      <c r="AM2">
        <v>30.434782608695656</v>
      </c>
      <c r="AN2">
        <v>0</v>
      </c>
      <c r="AO2">
        <v>0</v>
      </c>
      <c r="AP2">
        <v>0</v>
      </c>
      <c r="AQ2">
        <v>13.875</v>
      </c>
      <c r="AR2">
        <v>5.75</v>
      </c>
      <c r="AS2">
        <v>41.441441441441441</v>
      </c>
      <c r="AT2">
        <v>6</v>
      </c>
      <c r="AU2">
        <v>6</v>
      </c>
      <c r="AV2">
        <v>21.625</v>
      </c>
      <c r="AW2">
        <v>2.5</v>
      </c>
      <c r="AX2">
        <v>9.25</v>
      </c>
      <c r="AY2">
        <v>17.75</v>
      </c>
      <c r="AZ2">
        <v>57.5</v>
      </c>
      <c r="BA2">
        <v>23.5</v>
      </c>
      <c r="BB2">
        <v>40.869565217391305</v>
      </c>
      <c r="BC2">
        <v>2.875</v>
      </c>
      <c r="BD2">
        <v>56.5</v>
      </c>
      <c r="BE2">
        <v>33.625</v>
      </c>
      <c r="BF2">
        <v>59.513274336283182</v>
      </c>
      <c r="BG2">
        <v>40.375</v>
      </c>
      <c r="BH2">
        <v>16.875</v>
      </c>
      <c r="BI2">
        <v>41.795665634674926</v>
      </c>
      <c r="BJ2">
        <v>2.375</v>
      </c>
      <c r="BK2">
        <v>1.625</v>
      </c>
      <c r="BL2">
        <v>68.421052631578945</v>
      </c>
      <c r="BM2">
        <v>37.375</v>
      </c>
      <c r="BN2">
        <v>20.625</v>
      </c>
      <c r="BO2">
        <v>11.875</v>
      </c>
      <c r="BP2">
        <v>2.75</v>
      </c>
      <c r="BQ2">
        <v>0</v>
      </c>
      <c r="BR2">
        <v>115.125</v>
      </c>
      <c r="BS2">
        <v>77.5</v>
      </c>
      <c r="BT2">
        <v>67.318132464712264</v>
      </c>
      <c r="BU2">
        <v>42</v>
      </c>
      <c r="BV2">
        <v>39.75</v>
      </c>
      <c r="BW2">
        <v>94.642857142857139</v>
      </c>
      <c r="BX2">
        <v>129.75</v>
      </c>
      <c r="BY2">
        <v>111.375</v>
      </c>
      <c r="BZ2">
        <v>85.838150289017349</v>
      </c>
      <c r="CA2">
        <v>48.875</v>
      </c>
      <c r="CB2">
        <v>25.25</v>
      </c>
      <c r="CC2">
        <v>51.662404092071611</v>
      </c>
      <c r="CD2">
        <v>51.125</v>
      </c>
      <c r="CE2">
        <v>32.75</v>
      </c>
      <c r="CF2">
        <v>64.058679706601467</v>
      </c>
      <c r="CG2">
        <v>63.375</v>
      </c>
      <c r="CH2">
        <v>45.75</v>
      </c>
      <c r="CI2">
        <v>72.189349112426044</v>
      </c>
      <c r="CJ2">
        <v>0.75</v>
      </c>
      <c r="CK2">
        <v>0.25</v>
      </c>
      <c r="CL2">
        <v>33.333333333333329</v>
      </c>
      <c r="CM2">
        <v>18.5</v>
      </c>
      <c r="CN2">
        <v>15.375</v>
      </c>
      <c r="CO2">
        <v>83.108108108108098</v>
      </c>
      <c r="CP2">
        <v>7.75</v>
      </c>
      <c r="CQ2">
        <v>14.938750000000002</v>
      </c>
      <c r="CR2">
        <v>3.3587500000000006</v>
      </c>
      <c r="CS2">
        <v>15.00625</v>
      </c>
      <c r="CT2">
        <v>19.137499999999999</v>
      </c>
      <c r="CU2">
        <v>21.002500000000005</v>
      </c>
      <c r="CV2">
        <v>10.59125</v>
      </c>
      <c r="CW2">
        <v>1</v>
      </c>
      <c r="CX2">
        <v>1.0075000000000001</v>
      </c>
      <c r="CY2">
        <v>11.75</v>
      </c>
      <c r="CZ2">
        <v>4.5</v>
      </c>
      <c r="DA2">
        <v>38.297872340425535</v>
      </c>
      <c r="DB2">
        <v>356.75</v>
      </c>
      <c r="DC2">
        <v>288.5</v>
      </c>
      <c r="DD2">
        <v>80.868955851436581</v>
      </c>
      <c r="DE2">
        <v>50.22999999999999</v>
      </c>
      <c r="DF2">
        <v>109</v>
      </c>
      <c r="DG2">
        <v>20.25</v>
      </c>
      <c r="DH2">
        <v>37</v>
      </c>
      <c r="DI2">
        <v>51.75</v>
      </c>
      <c r="DJ2">
        <v>76.875</v>
      </c>
      <c r="DK2">
        <v>36</v>
      </c>
      <c r="DL2">
        <v>30.125</v>
      </c>
      <c r="DM2">
        <v>10.75</v>
      </c>
      <c r="DN2">
        <v>181.125</v>
      </c>
      <c r="DO2">
        <v>86.5</v>
      </c>
      <c r="DP2">
        <v>47.757073844030366</v>
      </c>
      <c r="DQ2">
        <v>7</v>
      </c>
      <c r="DR2">
        <v>2.375</v>
      </c>
      <c r="DS2">
        <v>33.928571428571431</v>
      </c>
      <c r="DT2">
        <v>27</v>
      </c>
      <c r="DU2">
        <v>6.75</v>
      </c>
      <c r="DV2">
        <v>25</v>
      </c>
      <c r="DW2">
        <v>0.625</v>
      </c>
      <c r="DX2">
        <v>0.125</v>
      </c>
      <c r="DY2">
        <v>20</v>
      </c>
      <c r="DZ2">
        <v>25.25</v>
      </c>
      <c r="EA2">
        <v>3.875</v>
      </c>
      <c r="EB2">
        <v>15.346534653465346</v>
      </c>
      <c r="EC2">
        <v>4.625</v>
      </c>
      <c r="ED2">
        <v>1.5</v>
      </c>
      <c r="EE2">
        <v>32.432432432432435</v>
      </c>
      <c r="EF2">
        <v>2.875</v>
      </c>
      <c r="EG2">
        <v>0.75</v>
      </c>
      <c r="EH2">
        <v>26.086956521739129</v>
      </c>
      <c r="EI2">
        <v>0.25</v>
      </c>
      <c r="EJ2">
        <v>0.25</v>
      </c>
      <c r="EK2">
        <v>100</v>
      </c>
      <c r="EL2">
        <v>13.5</v>
      </c>
      <c r="EM2">
        <v>3.5</v>
      </c>
      <c r="EN2">
        <v>25.925925925925924</v>
      </c>
      <c r="EO2">
        <v>4</v>
      </c>
      <c r="EP2">
        <v>5.125</v>
      </c>
      <c r="EQ2">
        <v>20.25</v>
      </c>
      <c r="ER2">
        <v>1.875</v>
      </c>
      <c r="ES2">
        <v>9</v>
      </c>
      <c r="ET2">
        <v>11.25</v>
      </c>
      <c r="EU2">
        <v>56.5</v>
      </c>
      <c r="EV2">
        <v>22.875</v>
      </c>
      <c r="EW2">
        <v>40.486725663716818</v>
      </c>
      <c r="EX2">
        <v>1.125</v>
      </c>
      <c r="EY2">
        <v>57.5</v>
      </c>
      <c r="EZ2">
        <v>34</v>
      </c>
      <c r="FA2">
        <v>59.130434782608695</v>
      </c>
      <c r="FB2">
        <v>40.375</v>
      </c>
      <c r="FC2">
        <v>19.75</v>
      </c>
      <c r="FD2">
        <v>48.916408668730647</v>
      </c>
      <c r="FE2">
        <v>3.625</v>
      </c>
      <c r="FF2">
        <v>2</v>
      </c>
      <c r="FG2">
        <v>55.172413793103445</v>
      </c>
      <c r="FH2">
        <v>38.125</v>
      </c>
      <c r="FI2">
        <v>23.5</v>
      </c>
      <c r="FJ2">
        <v>11.875</v>
      </c>
      <c r="FK2">
        <v>2.75</v>
      </c>
      <c r="FL2">
        <v>0.375</v>
      </c>
      <c r="FM2">
        <v>135.375</v>
      </c>
      <c r="FN2">
        <v>96.5</v>
      </c>
      <c r="FO2">
        <v>71.283471837488449</v>
      </c>
      <c r="FP2">
        <v>45.25</v>
      </c>
      <c r="FQ2">
        <v>41.375</v>
      </c>
      <c r="FR2">
        <v>91.436464088397798</v>
      </c>
      <c r="FS2">
        <v>116.625</v>
      </c>
      <c r="FT2">
        <v>100.875</v>
      </c>
      <c r="FU2">
        <v>86.495176848874593</v>
      </c>
      <c r="FV2">
        <v>42.25</v>
      </c>
      <c r="FW2">
        <v>22.375</v>
      </c>
      <c r="FX2">
        <v>52.95857988165681</v>
      </c>
      <c r="FY2">
        <v>53.375</v>
      </c>
      <c r="FZ2">
        <v>38</v>
      </c>
      <c r="GA2">
        <v>71.194379391100711</v>
      </c>
      <c r="GB2">
        <v>67.625</v>
      </c>
      <c r="GC2">
        <v>48.125</v>
      </c>
      <c r="GD2">
        <v>71.164510166358596</v>
      </c>
      <c r="GE2">
        <v>0.625</v>
      </c>
      <c r="GF2">
        <v>0.25</v>
      </c>
      <c r="GG2">
        <v>40</v>
      </c>
      <c r="GH2">
        <v>19.375</v>
      </c>
      <c r="GI2">
        <v>16.875</v>
      </c>
      <c r="GJ2">
        <v>87.096774193548384</v>
      </c>
      <c r="GK2">
        <v>8.375</v>
      </c>
      <c r="GL2">
        <v>15.825000000000001</v>
      </c>
      <c r="GM2">
        <v>3.63375</v>
      </c>
      <c r="GN2">
        <v>12.295</v>
      </c>
      <c r="GO2">
        <v>21.747499999999999</v>
      </c>
      <c r="GP2">
        <v>19.9575</v>
      </c>
      <c r="GQ2">
        <v>11.277499999999998</v>
      </c>
      <c r="GR2">
        <f>C2- (AN2*0.76)</f>
        <v>1.4412499999999999</v>
      </c>
      <c r="GS2">
        <f>CX2-(EI2*0.76)</f>
        <v>0.81750000000000012</v>
      </c>
      <c r="GT2">
        <f>B2-C2</f>
        <v>-0.31624999999999992</v>
      </c>
      <c r="GU2">
        <f>CW2-CX2</f>
        <v>-7.5000000000000622E-3</v>
      </c>
      <c r="GV2">
        <f>D2-V2</f>
        <v>6.875</v>
      </c>
      <c r="GW2">
        <f>CY2-DQ2</f>
        <v>4.75</v>
      </c>
      <c r="GX2" s="2">
        <f>P2/O2</f>
        <v>0.46624803767660911</v>
      </c>
      <c r="GY2" s="2">
        <f>Q2/O2</f>
        <v>0.38304552590266877</v>
      </c>
      <c r="GZ2" s="2">
        <f>R2/O2</f>
        <v>0.15070643642072212</v>
      </c>
      <c r="HA2">
        <f>C2/D2</f>
        <v>0.12397849462365591</v>
      </c>
      <c r="HB2">
        <f>CX2/CY2</f>
        <v>8.5744680851063834E-2</v>
      </c>
    </row>
    <row r="3" spans="1:210" x14ac:dyDescent="0.2">
      <c r="A3" t="s">
        <v>112</v>
      </c>
      <c r="B3">
        <v>0.375</v>
      </c>
      <c r="C3">
        <v>0.73250000000000004</v>
      </c>
      <c r="D3">
        <v>11.125</v>
      </c>
      <c r="E3">
        <v>2.875</v>
      </c>
      <c r="F3">
        <v>25.842696629213485</v>
      </c>
      <c r="G3">
        <v>386</v>
      </c>
      <c r="H3">
        <v>317.625</v>
      </c>
      <c r="I3">
        <v>82.286269430051817</v>
      </c>
      <c r="J3">
        <v>48.811249999999994</v>
      </c>
      <c r="K3">
        <v>94</v>
      </c>
      <c r="L3">
        <v>15.625</v>
      </c>
      <c r="M3">
        <v>32.875</v>
      </c>
      <c r="N3">
        <v>45.5</v>
      </c>
      <c r="O3">
        <v>70.5</v>
      </c>
      <c r="P3">
        <v>29.75</v>
      </c>
      <c r="Q3">
        <v>30.25</v>
      </c>
      <c r="R3">
        <v>10.5</v>
      </c>
      <c r="S3">
        <v>170.875</v>
      </c>
      <c r="T3">
        <v>86.375</v>
      </c>
      <c r="U3">
        <v>50.54864667154353</v>
      </c>
      <c r="V3">
        <v>6.125</v>
      </c>
      <c r="W3">
        <v>1</v>
      </c>
      <c r="X3">
        <v>16.326530612244898</v>
      </c>
      <c r="Y3">
        <v>25.75</v>
      </c>
      <c r="Z3">
        <v>7.125</v>
      </c>
      <c r="AA3">
        <v>27.669902912621357</v>
      </c>
      <c r="AB3">
        <v>0.375</v>
      </c>
      <c r="AC3">
        <v>0</v>
      </c>
      <c r="AD3">
        <v>0</v>
      </c>
      <c r="AE3">
        <v>25.875</v>
      </c>
      <c r="AF3">
        <v>3.375</v>
      </c>
      <c r="AG3">
        <v>13.043478260869565</v>
      </c>
      <c r="AH3">
        <v>4.625</v>
      </c>
      <c r="AI3">
        <v>1.375</v>
      </c>
      <c r="AJ3">
        <v>29.72972972972973</v>
      </c>
      <c r="AK3">
        <v>3.25</v>
      </c>
      <c r="AL3">
        <v>0.375</v>
      </c>
      <c r="AM3">
        <v>11.538461538461538</v>
      </c>
      <c r="AN3">
        <v>0</v>
      </c>
      <c r="AO3">
        <v>0</v>
      </c>
      <c r="AP3">
        <v>0</v>
      </c>
      <c r="AQ3">
        <v>18.625</v>
      </c>
      <c r="AR3">
        <v>5.375</v>
      </c>
      <c r="AS3">
        <v>28.859060402684566</v>
      </c>
      <c r="AT3">
        <v>5</v>
      </c>
      <c r="AU3">
        <v>3.375</v>
      </c>
      <c r="AV3">
        <v>21.125</v>
      </c>
      <c r="AW3">
        <v>1.75</v>
      </c>
      <c r="AX3">
        <v>11.375</v>
      </c>
      <c r="AY3">
        <v>11.75</v>
      </c>
      <c r="AZ3">
        <v>64.5</v>
      </c>
      <c r="BA3">
        <v>24.125</v>
      </c>
      <c r="BB3">
        <v>37.403100775193799</v>
      </c>
      <c r="BC3">
        <v>1.5</v>
      </c>
      <c r="BD3">
        <v>60.25</v>
      </c>
      <c r="BE3">
        <v>40.5</v>
      </c>
      <c r="BF3">
        <v>67.219917012448136</v>
      </c>
      <c r="BG3">
        <v>25.875</v>
      </c>
      <c r="BH3">
        <v>12.5</v>
      </c>
      <c r="BI3">
        <v>48.309178743961354</v>
      </c>
      <c r="BJ3">
        <v>2.125</v>
      </c>
      <c r="BK3">
        <v>1.125</v>
      </c>
      <c r="BL3">
        <v>52.941176470588239</v>
      </c>
      <c r="BM3">
        <v>29.5</v>
      </c>
      <c r="BN3">
        <v>9</v>
      </c>
      <c r="BO3">
        <v>11.375</v>
      </c>
      <c r="BP3">
        <v>2.625</v>
      </c>
      <c r="BQ3">
        <v>0.375</v>
      </c>
      <c r="BR3">
        <v>130.5</v>
      </c>
      <c r="BS3">
        <v>96.875</v>
      </c>
      <c r="BT3">
        <v>74.23371647509579</v>
      </c>
      <c r="BU3">
        <v>57.125</v>
      </c>
      <c r="BV3">
        <v>51.75</v>
      </c>
      <c r="BW3">
        <v>90.590809628008756</v>
      </c>
      <c r="BX3">
        <v>144</v>
      </c>
      <c r="BY3">
        <v>125.25</v>
      </c>
      <c r="BZ3">
        <v>86.979166666666657</v>
      </c>
      <c r="CA3">
        <v>41</v>
      </c>
      <c r="CB3">
        <v>22.875</v>
      </c>
      <c r="CC3">
        <v>55.792682926829272</v>
      </c>
      <c r="CD3">
        <v>49.625</v>
      </c>
      <c r="CE3">
        <v>33.625</v>
      </c>
      <c r="CF3">
        <v>67.758186397984886</v>
      </c>
      <c r="CG3">
        <v>63</v>
      </c>
      <c r="CH3">
        <v>44.5</v>
      </c>
      <c r="CI3">
        <v>70.634920634920633</v>
      </c>
      <c r="CJ3">
        <v>0.75</v>
      </c>
      <c r="CK3">
        <v>0.125</v>
      </c>
      <c r="CL3">
        <v>16.666666666666664</v>
      </c>
      <c r="CM3">
        <v>17.75</v>
      </c>
      <c r="CN3">
        <v>15.25</v>
      </c>
      <c r="CO3">
        <v>85.91549295774648</v>
      </c>
      <c r="CP3">
        <v>6.75</v>
      </c>
      <c r="CQ3">
        <v>16.388749999999998</v>
      </c>
      <c r="CR3">
        <v>3.9950000000000001</v>
      </c>
      <c r="CS3">
        <v>10.866250000000001</v>
      </c>
      <c r="CT3">
        <v>21.59</v>
      </c>
      <c r="CU3">
        <v>19.716249999999999</v>
      </c>
      <c r="CV3">
        <v>12.796250000000001</v>
      </c>
      <c r="CW3">
        <v>2.125</v>
      </c>
      <c r="CX3">
        <v>1.2974999999999999</v>
      </c>
      <c r="CY3">
        <v>10.625</v>
      </c>
      <c r="CZ3">
        <v>5.125</v>
      </c>
      <c r="DA3">
        <v>48.235294117647058</v>
      </c>
      <c r="DB3">
        <v>429.25</v>
      </c>
      <c r="DC3">
        <v>368.875</v>
      </c>
      <c r="DD3">
        <v>85.934769947582993</v>
      </c>
      <c r="DE3">
        <v>51.188750000000006</v>
      </c>
      <c r="DF3">
        <v>94.625</v>
      </c>
      <c r="DG3">
        <v>20.125</v>
      </c>
      <c r="DH3">
        <v>33.625</v>
      </c>
      <c r="DI3">
        <v>40.875</v>
      </c>
      <c r="DJ3">
        <v>69.125</v>
      </c>
      <c r="DK3">
        <v>33.75</v>
      </c>
      <c r="DL3">
        <v>25.375</v>
      </c>
      <c r="DM3">
        <v>10</v>
      </c>
      <c r="DN3">
        <v>170.875</v>
      </c>
      <c r="DO3">
        <v>79</v>
      </c>
      <c r="DP3">
        <v>46.232626188734457</v>
      </c>
      <c r="DQ3">
        <v>5.375</v>
      </c>
      <c r="DR3">
        <v>1.75</v>
      </c>
      <c r="DS3">
        <v>32.558139534883722</v>
      </c>
      <c r="DT3">
        <v>24.125</v>
      </c>
      <c r="DU3">
        <v>6.5</v>
      </c>
      <c r="DV3">
        <v>26.94300518134715</v>
      </c>
      <c r="DW3">
        <v>1</v>
      </c>
      <c r="DX3">
        <v>0.375</v>
      </c>
      <c r="DY3">
        <v>37.5</v>
      </c>
      <c r="DZ3">
        <v>23.25</v>
      </c>
      <c r="EA3">
        <v>2.875</v>
      </c>
      <c r="EB3">
        <v>12.365591397849462</v>
      </c>
      <c r="EC3">
        <v>2.875</v>
      </c>
      <c r="ED3">
        <v>1</v>
      </c>
      <c r="EE3">
        <v>34.782608695652172</v>
      </c>
      <c r="EF3">
        <v>1.5</v>
      </c>
      <c r="EG3">
        <v>0.125</v>
      </c>
      <c r="EH3">
        <v>8.3333333333333321</v>
      </c>
      <c r="EI3">
        <v>0.375</v>
      </c>
      <c r="EJ3">
        <v>0.375</v>
      </c>
      <c r="EK3">
        <v>100</v>
      </c>
      <c r="EL3">
        <v>9.25</v>
      </c>
      <c r="EM3">
        <v>3.875</v>
      </c>
      <c r="EN3">
        <v>41.891891891891895</v>
      </c>
      <c r="EO3">
        <v>3.625</v>
      </c>
      <c r="EP3">
        <v>6.25</v>
      </c>
      <c r="EQ3">
        <v>17.125</v>
      </c>
      <c r="ER3">
        <v>2.25</v>
      </c>
      <c r="ES3">
        <v>5.5</v>
      </c>
      <c r="ET3">
        <v>11.375</v>
      </c>
      <c r="EU3">
        <v>60.25</v>
      </c>
      <c r="EV3">
        <v>19.75</v>
      </c>
      <c r="EW3">
        <v>32.780082987551864</v>
      </c>
      <c r="EX3">
        <v>1.625</v>
      </c>
      <c r="EY3">
        <v>64.5</v>
      </c>
      <c r="EZ3">
        <v>40.375</v>
      </c>
      <c r="FA3">
        <v>62.596899224806201</v>
      </c>
      <c r="FB3">
        <v>25.875</v>
      </c>
      <c r="FC3">
        <v>10.875</v>
      </c>
      <c r="FD3">
        <v>42.028985507246375</v>
      </c>
      <c r="FE3">
        <v>2</v>
      </c>
      <c r="FF3">
        <v>1.125</v>
      </c>
      <c r="FG3">
        <v>56.25</v>
      </c>
      <c r="FH3">
        <v>39</v>
      </c>
      <c r="FI3">
        <v>16.5</v>
      </c>
      <c r="FJ3">
        <v>13.875</v>
      </c>
      <c r="FK3">
        <v>3</v>
      </c>
      <c r="FL3">
        <v>0</v>
      </c>
      <c r="FM3">
        <v>141.875</v>
      </c>
      <c r="FN3">
        <v>109.25</v>
      </c>
      <c r="FO3">
        <v>77.004405286343612</v>
      </c>
      <c r="FP3">
        <v>67.75</v>
      </c>
      <c r="FQ3">
        <v>63.875</v>
      </c>
      <c r="FR3">
        <v>94.280442804428048</v>
      </c>
      <c r="FS3">
        <v>144.75</v>
      </c>
      <c r="FT3">
        <v>129.5</v>
      </c>
      <c r="FU3">
        <v>89.464594127806564</v>
      </c>
      <c r="FV3">
        <v>40.75</v>
      </c>
      <c r="FW3">
        <v>23.5</v>
      </c>
      <c r="FX3">
        <v>57.668711656441715</v>
      </c>
      <c r="FY3">
        <v>53.25</v>
      </c>
      <c r="FZ3">
        <v>40.875</v>
      </c>
      <c r="GA3">
        <v>76.760563380281681</v>
      </c>
      <c r="GB3">
        <v>65.625</v>
      </c>
      <c r="GC3">
        <v>46.875</v>
      </c>
      <c r="GD3">
        <v>71.428571428571431</v>
      </c>
      <c r="GE3">
        <v>1.25</v>
      </c>
      <c r="GF3">
        <v>0.5</v>
      </c>
      <c r="GG3">
        <v>40</v>
      </c>
      <c r="GH3">
        <v>13.875</v>
      </c>
      <c r="GI3">
        <v>12.375</v>
      </c>
      <c r="GJ3">
        <v>89.189189189189193</v>
      </c>
      <c r="GK3">
        <v>9.25</v>
      </c>
      <c r="GL3">
        <v>17.017499999999998</v>
      </c>
      <c r="GM3">
        <v>4.7937499999999993</v>
      </c>
      <c r="GN3">
        <v>10.491250000000001</v>
      </c>
      <c r="GO3">
        <v>20.33625</v>
      </c>
      <c r="GP3">
        <v>17.982500000000002</v>
      </c>
      <c r="GQ3">
        <v>12.12875</v>
      </c>
      <c r="GR3">
        <f t="shared" ref="GR3:GR21" si="2">C3- (AN3*0.76)</f>
        <v>0.73250000000000004</v>
      </c>
      <c r="GS3">
        <f t="shared" ref="GS3:GS21" si="3">CX3-(EI3*0.76)</f>
        <v>1.0124999999999997</v>
      </c>
      <c r="GT3">
        <f t="shared" ref="GT3:GT21" si="4">B3-C3</f>
        <v>-0.35750000000000004</v>
      </c>
      <c r="GU3">
        <f t="shared" ref="GU3:GU21" si="5">CW3-CX3</f>
        <v>0.82750000000000012</v>
      </c>
      <c r="GV3">
        <f t="shared" ref="GV3:GV21" si="6">D3-V3</f>
        <v>5</v>
      </c>
      <c r="GW3">
        <f t="shared" ref="GW3:GW21" si="7">CY3-DQ3</f>
        <v>5.25</v>
      </c>
      <c r="GX3" s="2">
        <f t="shared" ref="GX3:GX21" si="8">P3/O3</f>
        <v>0.42198581560283688</v>
      </c>
      <c r="GY3" s="2">
        <f t="shared" ref="GY3:GY21" si="9">Q3/O3</f>
        <v>0.42907801418439717</v>
      </c>
      <c r="GZ3" s="2">
        <f t="shared" ref="GZ3:GZ21" si="10">R3/O3</f>
        <v>0.14893617021276595</v>
      </c>
      <c r="HA3">
        <f t="shared" ref="HA3:HA21" si="11">C3/D3</f>
        <v>6.5842696629213493E-2</v>
      </c>
      <c r="HB3">
        <f t="shared" ref="HB3:HB21" si="12">CX3/CY3</f>
        <v>0.12211764705882351</v>
      </c>
    </row>
    <row r="4" spans="1:210" x14ac:dyDescent="0.2">
      <c r="A4" t="s">
        <v>113</v>
      </c>
      <c r="B4">
        <v>1.75</v>
      </c>
      <c r="C4">
        <v>1.30375</v>
      </c>
      <c r="D4">
        <v>13.5</v>
      </c>
      <c r="E4">
        <v>5.25</v>
      </c>
      <c r="F4">
        <v>38.888888888888893</v>
      </c>
      <c r="G4">
        <v>447.625</v>
      </c>
      <c r="H4">
        <v>388.125</v>
      </c>
      <c r="I4">
        <v>86.70762356883553</v>
      </c>
      <c r="J4">
        <v>55.736249999999991</v>
      </c>
      <c r="K4">
        <v>90.5</v>
      </c>
      <c r="L4">
        <v>17.375</v>
      </c>
      <c r="M4">
        <v>32.75</v>
      </c>
      <c r="N4">
        <v>40.375</v>
      </c>
      <c r="O4">
        <v>70.25</v>
      </c>
      <c r="P4">
        <v>33.125</v>
      </c>
      <c r="Q4">
        <v>25.75</v>
      </c>
      <c r="R4">
        <v>11.375</v>
      </c>
      <c r="S4">
        <v>164</v>
      </c>
      <c r="T4">
        <v>74.375</v>
      </c>
      <c r="U4">
        <v>45.350609756097562</v>
      </c>
      <c r="V4">
        <v>7.75</v>
      </c>
      <c r="W4">
        <v>2.625</v>
      </c>
      <c r="X4">
        <v>33.87096774193548</v>
      </c>
      <c r="Y4">
        <v>26</v>
      </c>
      <c r="Z4">
        <v>7.5</v>
      </c>
      <c r="AA4">
        <v>28.846153846153843</v>
      </c>
      <c r="AB4">
        <v>0.625</v>
      </c>
      <c r="AC4">
        <v>0.375</v>
      </c>
      <c r="AD4">
        <v>60</v>
      </c>
      <c r="AE4">
        <v>23.5</v>
      </c>
      <c r="AF4">
        <v>4.375</v>
      </c>
      <c r="AG4">
        <v>18.617021276595743</v>
      </c>
      <c r="AH4">
        <v>2.875</v>
      </c>
      <c r="AI4">
        <v>0.875</v>
      </c>
      <c r="AJ4">
        <v>30.434782608695656</v>
      </c>
      <c r="AK4">
        <v>2.75</v>
      </c>
      <c r="AL4">
        <v>1.125</v>
      </c>
      <c r="AM4">
        <v>40.909090909090914</v>
      </c>
      <c r="AN4">
        <v>0.375</v>
      </c>
      <c r="AO4">
        <v>0.375</v>
      </c>
      <c r="AP4">
        <v>100</v>
      </c>
      <c r="AQ4">
        <v>10</v>
      </c>
      <c r="AR4">
        <v>3.5</v>
      </c>
      <c r="AS4">
        <v>35</v>
      </c>
      <c r="AT4">
        <v>3.5</v>
      </c>
      <c r="AU4">
        <v>6.625</v>
      </c>
      <c r="AV4">
        <v>20.375</v>
      </c>
      <c r="AW4">
        <v>2.875</v>
      </c>
      <c r="AX4">
        <v>7.125</v>
      </c>
      <c r="AY4">
        <v>13.75</v>
      </c>
      <c r="AZ4">
        <v>55.125</v>
      </c>
      <c r="BA4">
        <v>21.5</v>
      </c>
      <c r="BB4">
        <v>39.002267573696145</v>
      </c>
      <c r="BC4">
        <v>2.75</v>
      </c>
      <c r="BD4">
        <v>64.125</v>
      </c>
      <c r="BE4">
        <v>36.125</v>
      </c>
      <c r="BF4">
        <v>56.335282651072127</v>
      </c>
      <c r="BG4">
        <v>23.625</v>
      </c>
      <c r="BH4">
        <v>9.5</v>
      </c>
      <c r="BI4">
        <v>40.211640211640209</v>
      </c>
      <c r="BJ4">
        <v>2.625</v>
      </c>
      <c r="BK4">
        <v>1.125</v>
      </c>
      <c r="BL4">
        <v>42.857142857142854</v>
      </c>
      <c r="BM4">
        <v>33.875</v>
      </c>
      <c r="BN4">
        <v>15.5</v>
      </c>
      <c r="BO4">
        <v>16</v>
      </c>
      <c r="BP4">
        <v>3.375</v>
      </c>
      <c r="BQ4">
        <v>0.375</v>
      </c>
      <c r="BR4">
        <v>151.125</v>
      </c>
      <c r="BS4">
        <v>118.75</v>
      </c>
      <c r="BT4">
        <v>78.577336641852767</v>
      </c>
      <c r="BU4">
        <v>68.125</v>
      </c>
      <c r="BV4">
        <v>64.875</v>
      </c>
      <c r="BW4">
        <v>95.22935779816514</v>
      </c>
      <c r="BX4">
        <v>146.875</v>
      </c>
      <c r="BY4">
        <v>132.375</v>
      </c>
      <c r="BZ4">
        <v>90.127659574468083</v>
      </c>
      <c r="CA4">
        <v>38.25</v>
      </c>
      <c r="CB4">
        <v>22.625</v>
      </c>
      <c r="CC4">
        <v>59.150326797385624</v>
      </c>
      <c r="CD4">
        <v>51.5</v>
      </c>
      <c r="CE4">
        <v>40.625</v>
      </c>
      <c r="CF4">
        <v>78.883495145631059</v>
      </c>
      <c r="CG4">
        <v>70.5</v>
      </c>
      <c r="CH4">
        <v>51.875</v>
      </c>
      <c r="CI4">
        <v>73.581560283687935</v>
      </c>
      <c r="CJ4">
        <v>2</v>
      </c>
      <c r="CK4">
        <v>1.25</v>
      </c>
      <c r="CL4">
        <v>62.5</v>
      </c>
      <c r="CM4">
        <v>14.875</v>
      </c>
      <c r="CN4">
        <v>13.375</v>
      </c>
      <c r="CO4">
        <v>89.915966386554629</v>
      </c>
      <c r="CP4">
        <v>7.375</v>
      </c>
      <c r="CQ4">
        <v>17.243749999999999</v>
      </c>
      <c r="CR4">
        <v>4.90625</v>
      </c>
      <c r="CS4">
        <v>8.89</v>
      </c>
      <c r="CT4">
        <v>20.93375</v>
      </c>
      <c r="CU4">
        <v>17.453749999999999</v>
      </c>
      <c r="CV4">
        <v>9.8987499999999997</v>
      </c>
      <c r="CW4">
        <v>0.625</v>
      </c>
      <c r="CX4">
        <v>1.11375</v>
      </c>
      <c r="CY4">
        <v>10.25</v>
      </c>
      <c r="CZ4">
        <v>3.625</v>
      </c>
      <c r="DA4">
        <v>35.365853658536587</v>
      </c>
      <c r="DB4">
        <v>324.25</v>
      </c>
      <c r="DC4">
        <v>263.25</v>
      </c>
      <c r="DD4">
        <v>81.187355435620674</v>
      </c>
      <c r="DE4">
        <v>44.263750000000009</v>
      </c>
      <c r="DF4">
        <v>92.5</v>
      </c>
      <c r="DG4">
        <v>18.875</v>
      </c>
      <c r="DH4">
        <v>31.875</v>
      </c>
      <c r="DI4">
        <v>41.75</v>
      </c>
      <c r="DJ4">
        <v>63.125</v>
      </c>
      <c r="DK4">
        <v>25.75</v>
      </c>
      <c r="DL4">
        <v>26.75</v>
      </c>
      <c r="DM4">
        <v>10.625</v>
      </c>
      <c r="DN4">
        <v>164</v>
      </c>
      <c r="DO4">
        <v>83</v>
      </c>
      <c r="DP4">
        <v>50.609756097560975</v>
      </c>
      <c r="DQ4">
        <v>5</v>
      </c>
      <c r="DR4">
        <v>2</v>
      </c>
      <c r="DS4">
        <v>40</v>
      </c>
      <c r="DT4">
        <v>23.375</v>
      </c>
      <c r="DU4">
        <v>6.25</v>
      </c>
      <c r="DV4">
        <v>26.737967914438503</v>
      </c>
      <c r="DW4">
        <v>0.75</v>
      </c>
      <c r="DX4">
        <v>0.375</v>
      </c>
      <c r="DY4">
        <v>50</v>
      </c>
      <c r="DZ4">
        <v>29.5</v>
      </c>
      <c r="EA4">
        <v>2.75</v>
      </c>
      <c r="EB4">
        <v>9.3220338983050848</v>
      </c>
      <c r="EC4">
        <v>3.5</v>
      </c>
      <c r="ED4">
        <v>1.25</v>
      </c>
      <c r="EE4">
        <v>35.714285714285715</v>
      </c>
      <c r="EF4">
        <v>3.25</v>
      </c>
      <c r="EG4">
        <v>0.375</v>
      </c>
      <c r="EH4">
        <v>11.538461538461538</v>
      </c>
      <c r="EI4">
        <v>0.25</v>
      </c>
      <c r="EJ4">
        <v>0.25</v>
      </c>
      <c r="EK4">
        <v>100</v>
      </c>
      <c r="EL4">
        <v>11.125</v>
      </c>
      <c r="EM4">
        <v>3</v>
      </c>
      <c r="EN4">
        <v>26.966292134831459</v>
      </c>
      <c r="EO4">
        <v>3.125</v>
      </c>
      <c r="EP4">
        <v>3.75</v>
      </c>
      <c r="EQ4">
        <v>17.875</v>
      </c>
      <c r="ER4">
        <v>2.125</v>
      </c>
      <c r="ES4">
        <v>8.375</v>
      </c>
      <c r="ET4">
        <v>12.75</v>
      </c>
      <c r="EU4">
        <v>64.125</v>
      </c>
      <c r="EV4">
        <v>28</v>
      </c>
      <c r="EW4">
        <v>43.664717348927873</v>
      </c>
      <c r="EX4">
        <v>2.375</v>
      </c>
      <c r="EY4">
        <v>55.125</v>
      </c>
      <c r="EZ4">
        <v>33.625</v>
      </c>
      <c r="FA4">
        <v>60.997732426303855</v>
      </c>
      <c r="FB4">
        <v>23.625</v>
      </c>
      <c r="FC4">
        <v>11.5</v>
      </c>
      <c r="FD4">
        <v>48.677248677248677</v>
      </c>
      <c r="FE4">
        <v>2.25</v>
      </c>
      <c r="FF4">
        <v>1.5</v>
      </c>
      <c r="FG4">
        <v>66.666666666666657</v>
      </c>
      <c r="FH4">
        <v>33.625</v>
      </c>
      <c r="FI4">
        <v>13.25</v>
      </c>
      <c r="FJ4">
        <v>12.25</v>
      </c>
      <c r="FK4">
        <v>3.875</v>
      </c>
      <c r="FL4">
        <v>0.25</v>
      </c>
      <c r="FM4">
        <v>111.5</v>
      </c>
      <c r="FN4">
        <v>80.875</v>
      </c>
      <c r="FO4">
        <v>72.533632286995527</v>
      </c>
      <c r="FP4">
        <v>47.75</v>
      </c>
      <c r="FQ4">
        <v>43.625</v>
      </c>
      <c r="FR4">
        <v>91.361256544502623</v>
      </c>
      <c r="FS4">
        <v>106.5</v>
      </c>
      <c r="FT4">
        <v>90.75</v>
      </c>
      <c r="FU4">
        <v>85.211267605633793</v>
      </c>
      <c r="FV4">
        <v>39.625</v>
      </c>
      <c r="FW4">
        <v>21.25</v>
      </c>
      <c r="FX4">
        <v>53.627760252365931</v>
      </c>
      <c r="FY4">
        <v>37.125</v>
      </c>
      <c r="FZ4">
        <v>23.5</v>
      </c>
      <c r="GA4">
        <v>63.299663299663301</v>
      </c>
      <c r="GB4">
        <v>53.75</v>
      </c>
      <c r="GC4">
        <v>34.875</v>
      </c>
      <c r="GD4">
        <v>64.883720930232556</v>
      </c>
      <c r="GE4">
        <v>0.625</v>
      </c>
      <c r="GF4">
        <v>0</v>
      </c>
      <c r="GG4">
        <v>0</v>
      </c>
      <c r="GH4">
        <v>17.625</v>
      </c>
      <c r="GI4">
        <v>16</v>
      </c>
      <c r="GJ4">
        <v>90.780141843971634</v>
      </c>
      <c r="GK4">
        <v>8.5</v>
      </c>
      <c r="GL4">
        <v>15.761250000000002</v>
      </c>
      <c r="GM4">
        <v>3.3487499999999999</v>
      </c>
      <c r="GN4">
        <v>12.453750000000001</v>
      </c>
      <c r="GO4">
        <v>20.80875</v>
      </c>
      <c r="GP4">
        <v>18.989999999999998</v>
      </c>
      <c r="GQ4">
        <v>14.73625</v>
      </c>
      <c r="GR4">
        <f t="shared" si="2"/>
        <v>1.0187499999999998</v>
      </c>
      <c r="GS4">
        <f t="shared" si="3"/>
        <v>0.92375000000000007</v>
      </c>
      <c r="GT4">
        <f t="shared" si="4"/>
        <v>0.44625000000000004</v>
      </c>
      <c r="GU4">
        <f t="shared" si="5"/>
        <v>-0.48875000000000002</v>
      </c>
      <c r="GV4">
        <f t="shared" si="6"/>
        <v>5.75</v>
      </c>
      <c r="GW4">
        <f t="shared" si="7"/>
        <v>5.25</v>
      </c>
      <c r="GX4" s="2">
        <f t="shared" si="8"/>
        <v>0.47153024911032027</v>
      </c>
      <c r="GY4" s="2">
        <f t="shared" si="9"/>
        <v>0.36654804270462632</v>
      </c>
      <c r="GZ4" s="2">
        <f t="shared" si="10"/>
        <v>0.16192170818505339</v>
      </c>
      <c r="HA4">
        <f t="shared" si="11"/>
        <v>9.6574074074074076E-2</v>
      </c>
      <c r="HB4">
        <f t="shared" si="12"/>
        <v>0.10865853658536585</v>
      </c>
    </row>
    <row r="5" spans="1:210" x14ac:dyDescent="0.2">
      <c r="A5" t="s">
        <v>114</v>
      </c>
      <c r="B5">
        <v>1.5</v>
      </c>
      <c r="C5">
        <v>0.99374999999999991</v>
      </c>
      <c r="D5">
        <v>10</v>
      </c>
      <c r="E5">
        <v>3.5</v>
      </c>
      <c r="F5">
        <v>35</v>
      </c>
      <c r="G5">
        <v>408</v>
      </c>
      <c r="H5">
        <v>336</v>
      </c>
      <c r="I5">
        <v>82.35294117647058</v>
      </c>
      <c r="J5">
        <v>51.326250000000002</v>
      </c>
      <c r="K5">
        <v>103.625</v>
      </c>
      <c r="L5">
        <v>16.5</v>
      </c>
      <c r="M5">
        <v>39.25</v>
      </c>
      <c r="N5">
        <v>47.875</v>
      </c>
      <c r="O5">
        <v>77.375</v>
      </c>
      <c r="P5">
        <v>31.625</v>
      </c>
      <c r="Q5">
        <v>35</v>
      </c>
      <c r="R5">
        <v>10.75</v>
      </c>
      <c r="S5">
        <v>187.75</v>
      </c>
      <c r="T5">
        <v>92.75</v>
      </c>
      <c r="U5">
        <v>49.400798934753659</v>
      </c>
      <c r="V5">
        <v>4.75</v>
      </c>
      <c r="W5">
        <v>1.25</v>
      </c>
      <c r="X5">
        <v>26.315789473684209</v>
      </c>
      <c r="Y5">
        <v>27.875</v>
      </c>
      <c r="Z5">
        <v>6.75</v>
      </c>
      <c r="AA5">
        <v>24.215246636771301</v>
      </c>
      <c r="AB5">
        <v>1.125</v>
      </c>
      <c r="AC5">
        <v>0.5</v>
      </c>
      <c r="AD5">
        <v>44.444444444444443</v>
      </c>
      <c r="AE5">
        <v>24.75</v>
      </c>
      <c r="AF5">
        <v>2.125</v>
      </c>
      <c r="AG5">
        <v>8.5858585858585847</v>
      </c>
      <c r="AH5">
        <v>4</v>
      </c>
      <c r="AI5">
        <v>1</v>
      </c>
      <c r="AJ5">
        <v>25</v>
      </c>
      <c r="AK5">
        <v>3.375</v>
      </c>
      <c r="AL5">
        <v>0.625</v>
      </c>
      <c r="AM5">
        <v>18.518518518518519</v>
      </c>
      <c r="AN5">
        <v>0</v>
      </c>
      <c r="AO5">
        <v>0</v>
      </c>
      <c r="AP5">
        <v>0</v>
      </c>
      <c r="AQ5">
        <v>14.25</v>
      </c>
      <c r="AR5">
        <v>4.25</v>
      </c>
      <c r="AS5">
        <v>29.82456140350877</v>
      </c>
      <c r="AT5">
        <v>4.5</v>
      </c>
      <c r="AU5">
        <v>7.875</v>
      </c>
      <c r="AV5">
        <v>22.125</v>
      </c>
      <c r="AW5">
        <v>2.875</v>
      </c>
      <c r="AX5">
        <v>7.875</v>
      </c>
      <c r="AY5">
        <v>16.375</v>
      </c>
      <c r="AZ5">
        <v>63.75</v>
      </c>
      <c r="BA5">
        <v>22</v>
      </c>
      <c r="BB5">
        <v>34.509803921568626</v>
      </c>
      <c r="BC5">
        <v>2.75</v>
      </c>
      <c r="BD5">
        <v>65.75</v>
      </c>
      <c r="BE5">
        <v>42.25</v>
      </c>
      <c r="BF5">
        <v>64.258555133079852</v>
      </c>
      <c r="BG5">
        <v>32.25</v>
      </c>
      <c r="BH5">
        <v>16.25</v>
      </c>
      <c r="BI5">
        <v>50.387596899224803</v>
      </c>
      <c r="BJ5">
        <v>3.375</v>
      </c>
      <c r="BK5">
        <v>2</v>
      </c>
      <c r="BL5">
        <v>59.259259259259252</v>
      </c>
      <c r="BM5">
        <v>34.625</v>
      </c>
      <c r="BN5">
        <v>10.75</v>
      </c>
      <c r="BO5">
        <v>14</v>
      </c>
      <c r="BP5">
        <v>3</v>
      </c>
      <c r="BQ5">
        <v>0.25</v>
      </c>
      <c r="BR5">
        <v>145.5</v>
      </c>
      <c r="BS5">
        <v>108.625</v>
      </c>
      <c r="BT5">
        <v>74.656357388316152</v>
      </c>
      <c r="BU5">
        <v>61.25</v>
      </c>
      <c r="BV5">
        <v>55.25</v>
      </c>
      <c r="BW5">
        <v>90.204081632653072</v>
      </c>
      <c r="BX5">
        <v>129</v>
      </c>
      <c r="BY5">
        <v>112.25</v>
      </c>
      <c r="BZ5">
        <v>87.015503875968989</v>
      </c>
      <c r="CA5">
        <v>39.25</v>
      </c>
      <c r="CB5">
        <v>20</v>
      </c>
      <c r="CC5">
        <v>50.955414012738856</v>
      </c>
      <c r="CD5">
        <v>49.625</v>
      </c>
      <c r="CE5">
        <v>35.25</v>
      </c>
      <c r="CF5">
        <v>71.032745591939545</v>
      </c>
      <c r="CG5">
        <v>65.125</v>
      </c>
      <c r="CH5">
        <v>46.375</v>
      </c>
      <c r="CI5">
        <v>71.209213051823411</v>
      </c>
      <c r="CJ5">
        <v>1.125</v>
      </c>
      <c r="CK5">
        <v>0.5</v>
      </c>
      <c r="CL5">
        <v>44.444444444444443</v>
      </c>
      <c r="CM5">
        <v>17.75</v>
      </c>
      <c r="CN5">
        <v>15.375</v>
      </c>
      <c r="CO5">
        <v>86.619718309859152</v>
      </c>
      <c r="CP5">
        <v>7.625</v>
      </c>
      <c r="CQ5">
        <v>16.677499999999998</v>
      </c>
      <c r="CR5">
        <v>4.1312499999999996</v>
      </c>
      <c r="CS5">
        <v>10.126250000000001</v>
      </c>
      <c r="CT5">
        <v>18.574999999999996</v>
      </c>
      <c r="CU5">
        <v>18.332500000000003</v>
      </c>
      <c r="CV5">
        <v>9.0550000000000015</v>
      </c>
      <c r="CW5">
        <v>0.625</v>
      </c>
      <c r="CX5">
        <v>0.74875000000000003</v>
      </c>
      <c r="CY5">
        <v>9.125</v>
      </c>
      <c r="CZ5">
        <v>2.625</v>
      </c>
      <c r="DA5">
        <v>28.767123287671232</v>
      </c>
      <c r="DB5">
        <v>371.875</v>
      </c>
      <c r="DC5">
        <v>306.875</v>
      </c>
      <c r="DD5">
        <v>82.521008403361336</v>
      </c>
      <c r="DE5">
        <v>48.673749999999998</v>
      </c>
      <c r="DF5">
        <v>103.75</v>
      </c>
      <c r="DG5">
        <v>18.25</v>
      </c>
      <c r="DH5">
        <v>42.625</v>
      </c>
      <c r="DI5">
        <v>42.875</v>
      </c>
      <c r="DJ5">
        <v>73.5</v>
      </c>
      <c r="DK5">
        <v>33.75</v>
      </c>
      <c r="DL5">
        <v>30.625</v>
      </c>
      <c r="DM5">
        <v>9.125</v>
      </c>
      <c r="DN5">
        <v>187.75</v>
      </c>
      <c r="DO5">
        <v>87.625</v>
      </c>
      <c r="DP5">
        <v>46.671105193075903</v>
      </c>
      <c r="DQ5">
        <v>5.125</v>
      </c>
      <c r="DR5">
        <v>0.625</v>
      </c>
      <c r="DS5">
        <v>12.195121951219512</v>
      </c>
      <c r="DT5">
        <v>22.875</v>
      </c>
      <c r="DU5">
        <v>5.625</v>
      </c>
      <c r="DV5">
        <v>24.590163934426229</v>
      </c>
      <c r="DW5">
        <v>0.5</v>
      </c>
      <c r="DX5">
        <v>0.125</v>
      </c>
      <c r="DY5">
        <v>25</v>
      </c>
      <c r="DZ5">
        <v>25.75</v>
      </c>
      <c r="EA5">
        <v>3</v>
      </c>
      <c r="EB5">
        <v>11.650485436893204</v>
      </c>
      <c r="EC5">
        <v>3.375</v>
      </c>
      <c r="ED5">
        <v>0.75</v>
      </c>
      <c r="EE5">
        <v>22.222222222222221</v>
      </c>
      <c r="EF5">
        <v>2</v>
      </c>
      <c r="EG5">
        <v>0.625</v>
      </c>
      <c r="EH5">
        <v>31.25</v>
      </c>
      <c r="EI5">
        <v>0.125</v>
      </c>
      <c r="EJ5">
        <v>0.125</v>
      </c>
      <c r="EK5">
        <v>100</v>
      </c>
      <c r="EL5">
        <v>10.5</v>
      </c>
      <c r="EM5">
        <v>3.625</v>
      </c>
      <c r="EN5">
        <v>34.523809523809526</v>
      </c>
      <c r="EO5">
        <v>3.625</v>
      </c>
      <c r="EP5">
        <v>4.375</v>
      </c>
      <c r="EQ5">
        <v>15.25</v>
      </c>
      <c r="ER5">
        <v>2.5</v>
      </c>
      <c r="ES5">
        <v>6</v>
      </c>
      <c r="ET5">
        <v>10.25</v>
      </c>
      <c r="EU5">
        <v>65.75</v>
      </c>
      <c r="EV5">
        <v>23.5</v>
      </c>
      <c r="EW5">
        <v>35.741444866920155</v>
      </c>
      <c r="EX5">
        <v>0.75</v>
      </c>
      <c r="EY5">
        <v>63.75</v>
      </c>
      <c r="EZ5">
        <v>41.75</v>
      </c>
      <c r="FA5">
        <v>65.490196078431367</v>
      </c>
      <c r="FB5">
        <v>32.25</v>
      </c>
      <c r="FC5">
        <v>12.5</v>
      </c>
      <c r="FD5">
        <v>38.759689922480625</v>
      </c>
      <c r="FE5">
        <v>3.875</v>
      </c>
      <c r="FF5">
        <v>2.625</v>
      </c>
      <c r="FG5">
        <v>67.741935483870961</v>
      </c>
      <c r="FH5">
        <v>36.875</v>
      </c>
      <c r="FI5">
        <v>13.25</v>
      </c>
      <c r="FJ5">
        <v>12.5</v>
      </c>
      <c r="FK5">
        <v>3.625</v>
      </c>
      <c r="FL5">
        <v>0.125</v>
      </c>
      <c r="FM5">
        <v>134.5</v>
      </c>
      <c r="FN5">
        <v>99.125</v>
      </c>
      <c r="FO5">
        <v>73.698884758364315</v>
      </c>
      <c r="FP5">
        <v>58.25</v>
      </c>
      <c r="FQ5">
        <v>55</v>
      </c>
      <c r="FR5">
        <v>94.420600858369099</v>
      </c>
      <c r="FS5">
        <v>112.875</v>
      </c>
      <c r="FT5">
        <v>100</v>
      </c>
      <c r="FU5">
        <v>88.593576965669982</v>
      </c>
      <c r="FV5">
        <v>43.625</v>
      </c>
      <c r="FW5">
        <v>24.25</v>
      </c>
      <c r="FX5">
        <v>55.587392550143264</v>
      </c>
      <c r="FY5">
        <v>43.375</v>
      </c>
      <c r="FZ5">
        <v>28.625</v>
      </c>
      <c r="GA5">
        <v>65.994236311239192</v>
      </c>
      <c r="GB5">
        <v>64.5</v>
      </c>
      <c r="GC5">
        <v>43</v>
      </c>
      <c r="GD5">
        <v>66.666666666666657</v>
      </c>
      <c r="GE5">
        <v>0.375</v>
      </c>
      <c r="GF5">
        <v>0.125</v>
      </c>
      <c r="GG5">
        <v>33.333333333333329</v>
      </c>
      <c r="GH5">
        <v>17.125</v>
      </c>
      <c r="GI5">
        <v>14.625</v>
      </c>
      <c r="GJ5">
        <v>85.40145985401459</v>
      </c>
      <c r="GK5">
        <v>8</v>
      </c>
      <c r="GL5">
        <v>16.291250000000002</v>
      </c>
      <c r="GM5">
        <v>3.8075000000000006</v>
      </c>
      <c r="GN5">
        <v>11.933750000000002</v>
      </c>
      <c r="GO5">
        <v>21.227499999999999</v>
      </c>
      <c r="GP5">
        <v>18.793749999999999</v>
      </c>
      <c r="GQ5">
        <v>10.99375</v>
      </c>
      <c r="GR5">
        <f t="shared" si="2"/>
        <v>0.99374999999999991</v>
      </c>
      <c r="GS5">
        <f t="shared" si="3"/>
        <v>0.65375000000000005</v>
      </c>
      <c r="GT5">
        <f t="shared" si="4"/>
        <v>0.50625000000000009</v>
      </c>
      <c r="GU5">
        <f t="shared" si="5"/>
        <v>-0.12375000000000003</v>
      </c>
      <c r="GV5">
        <f t="shared" si="6"/>
        <v>5.25</v>
      </c>
      <c r="GW5">
        <f t="shared" si="7"/>
        <v>4</v>
      </c>
      <c r="GX5" s="2">
        <f t="shared" si="8"/>
        <v>0.40872374798061389</v>
      </c>
      <c r="GY5" s="2">
        <f t="shared" si="9"/>
        <v>0.45234248788368336</v>
      </c>
      <c r="GZ5" s="2">
        <f t="shared" si="10"/>
        <v>0.13893376413570274</v>
      </c>
      <c r="HA5">
        <f t="shared" si="11"/>
        <v>9.9374999999999991E-2</v>
      </c>
      <c r="HB5">
        <f t="shared" si="12"/>
        <v>8.2054794520547952E-2</v>
      </c>
    </row>
    <row r="6" spans="1:210" x14ac:dyDescent="0.2">
      <c r="A6" t="s">
        <v>115</v>
      </c>
      <c r="B6">
        <v>2.1428571428571428</v>
      </c>
      <c r="C6">
        <v>2.1828571428571428</v>
      </c>
      <c r="D6">
        <v>15.428571428571429</v>
      </c>
      <c r="E6">
        <v>6.5714285714285712</v>
      </c>
      <c r="F6">
        <v>42.592592592592595</v>
      </c>
      <c r="G6">
        <v>365.71428571428572</v>
      </c>
      <c r="H6">
        <v>308.57142857142856</v>
      </c>
      <c r="I6">
        <v>84.375</v>
      </c>
      <c r="J6">
        <v>51.588571428571427</v>
      </c>
      <c r="K6">
        <v>81.428571428571431</v>
      </c>
      <c r="L6">
        <v>13.428571428571429</v>
      </c>
      <c r="M6">
        <v>29.857142857142858</v>
      </c>
      <c r="N6">
        <v>38.142857142857146</v>
      </c>
      <c r="O6">
        <v>65.428571428571431</v>
      </c>
      <c r="P6">
        <v>29</v>
      </c>
      <c r="Q6">
        <v>28</v>
      </c>
      <c r="R6">
        <v>8.4285714285714288</v>
      </c>
      <c r="S6">
        <v>158.71428571428572</v>
      </c>
      <c r="T6">
        <v>74.428571428571431</v>
      </c>
      <c r="U6">
        <v>46.894689468946893</v>
      </c>
      <c r="V6">
        <v>5.8571428571428568</v>
      </c>
      <c r="W6">
        <v>1.8571428571428572</v>
      </c>
      <c r="X6">
        <v>31.707317073170731</v>
      </c>
      <c r="Y6">
        <v>27.428571428571427</v>
      </c>
      <c r="Z6">
        <v>8.7142857142857135</v>
      </c>
      <c r="AA6">
        <v>31.770833333333332</v>
      </c>
      <c r="AB6">
        <v>1.2857142857142858</v>
      </c>
      <c r="AC6">
        <v>1</v>
      </c>
      <c r="AD6">
        <v>77.777777777777786</v>
      </c>
      <c r="AE6">
        <v>25.571428571428573</v>
      </c>
      <c r="AF6">
        <v>4.5714285714285712</v>
      </c>
      <c r="AG6">
        <v>17.877094972067038</v>
      </c>
      <c r="AH6">
        <v>4.7142857142857144</v>
      </c>
      <c r="AI6">
        <v>1.7142857142857142</v>
      </c>
      <c r="AJ6">
        <v>36.363636363636367</v>
      </c>
      <c r="AK6">
        <v>2</v>
      </c>
      <c r="AL6">
        <v>0.5714285714285714</v>
      </c>
      <c r="AM6">
        <v>28.571428571428569</v>
      </c>
      <c r="AN6">
        <v>0.42857142857142855</v>
      </c>
      <c r="AO6">
        <v>0.2857142857142857</v>
      </c>
      <c r="AP6">
        <v>66.666666666666657</v>
      </c>
      <c r="AQ6">
        <v>9.8571428571428577</v>
      </c>
      <c r="AR6">
        <v>3.5714285714285716</v>
      </c>
      <c r="AS6">
        <v>36.231884057971016</v>
      </c>
      <c r="AT6">
        <v>3.7142857142857144</v>
      </c>
      <c r="AU6">
        <v>8.2857142857142865</v>
      </c>
      <c r="AV6">
        <v>21.571428571428573</v>
      </c>
      <c r="AW6">
        <v>3.7142857142857144</v>
      </c>
      <c r="AX6">
        <v>6.8571428571428568</v>
      </c>
      <c r="AY6">
        <v>16.571428571428573</v>
      </c>
      <c r="AZ6">
        <v>53.142857142857146</v>
      </c>
      <c r="BA6">
        <v>19</v>
      </c>
      <c r="BB6">
        <v>35.752688172043015</v>
      </c>
      <c r="BC6">
        <v>2.5714285714285716</v>
      </c>
      <c r="BD6">
        <v>53</v>
      </c>
      <c r="BE6">
        <v>33</v>
      </c>
      <c r="BF6">
        <v>62.264150943396224</v>
      </c>
      <c r="BG6">
        <v>26.142857142857142</v>
      </c>
      <c r="BH6">
        <v>11.714285714285714</v>
      </c>
      <c r="BI6">
        <v>44.808743169398909</v>
      </c>
      <c r="BJ6">
        <v>2.7142857142857144</v>
      </c>
      <c r="BK6">
        <v>1</v>
      </c>
      <c r="BL6">
        <v>36.84210526315789</v>
      </c>
      <c r="BM6">
        <v>33.714285714285715</v>
      </c>
      <c r="BN6">
        <v>12.857142857142858</v>
      </c>
      <c r="BO6">
        <v>12.285714285714286</v>
      </c>
      <c r="BP6">
        <v>3.2857142857142856</v>
      </c>
      <c r="BQ6">
        <v>0.14285714285714285</v>
      </c>
      <c r="BR6">
        <v>130.71428571428572</v>
      </c>
      <c r="BS6">
        <v>98.714285714285708</v>
      </c>
      <c r="BT6">
        <v>75.519125683060111</v>
      </c>
      <c r="BU6">
        <v>54.142857142857146</v>
      </c>
      <c r="BV6">
        <v>51</v>
      </c>
      <c r="BW6">
        <v>94.195250659630602</v>
      </c>
      <c r="BX6">
        <v>126.57142857142857</v>
      </c>
      <c r="BY6">
        <v>113.42857142857143</v>
      </c>
      <c r="BZ6">
        <v>89.616252821670429</v>
      </c>
      <c r="CA6">
        <v>43.857142857142854</v>
      </c>
      <c r="CB6">
        <v>24.857142857142858</v>
      </c>
      <c r="CC6">
        <v>56.677524429967427</v>
      </c>
      <c r="CD6">
        <v>50.428571428571431</v>
      </c>
      <c r="CE6">
        <v>33.285714285714285</v>
      </c>
      <c r="CF6">
        <v>66.005665722379604</v>
      </c>
      <c r="CG6">
        <v>63</v>
      </c>
      <c r="CH6">
        <v>47.714285714285715</v>
      </c>
      <c r="CI6">
        <v>75.736961451247168</v>
      </c>
      <c r="CJ6">
        <v>1.5714285714285714</v>
      </c>
      <c r="CK6">
        <v>0.7142857142857143</v>
      </c>
      <c r="CL6">
        <v>45.454545454545453</v>
      </c>
      <c r="CM6">
        <v>16.571428571428573</v>
      </c>
      <c r="CN6">
        <v>15.428571428571429</v>
      </c>
      <c r="CO6">
        <v>93.103448275862064</v>
      </c>
      <c r="CP6">
        <v>8.2857142857142865</v>
      </c>
      <c r="CQ6">
        <v>16.2</v>
      </c>
      <c r="CR6">
        <v>3.9885714285714289</v>
      </c>
      <c r="CS6">
        <v>12.18857142857143</v>
      </c>
      <c r="CT6">
        <v>19.855714285714289</v>
      </c>
      <c r="CU6">
        <v>20.00714285714286</v>
      </c>
      <c r="CV6">
        <v>9.7071428571428573</v>
      </c>
      <c r="CW6">
        <v>0.7142857142857143</v>
      </c>
      <c r="CX6">
        <v>1.1357142857142859</v>
      </c>
      <c r="CY6">
        <v>10.142857142857142</v>
      </c>
      <c r="CZ6">
        <v>2.7142857142857144</v>
      </c>
      <c r="DA6">
        <v>26.760563380281688</v>
      </c>
      <c r="DB6">
        <v>334.42857142857144</v>
      </c>
      <c r="DC6">
        <v>279.14285714285717</v>
      </c>
      <c r="DD6">
        <v>83.468603161042282</v>
      </c>
      <c r="DE6">
        <v>48.411428571428573</v>
      </c>
      <c r="DF6">
        <v>88.857142857142861</v>
      </c>
      <c r="DG6">
        <v>15.285714285714286</v>
      </c>
      <c r="DH6">
        <v>34.285714285714285</v>
      </c>
      <c r="DI6">
        <v>39.285714285714285</v>
      </c>
      <c r="DJ6">
        <v>63.285714285714285</v>
      </c>
      <c r="DK6">
        <v>31.142857142857142</v>
      </c>
      <c r="DL6">
        <v>22.857142857142858</v>
      </c>
      <c r="DM6">
        <v>9.2857142857142865</v>
      </c>
      <c r="DN6">
        <v>158.71428571428572</v>
      </c>
      <c r="DO6">
        <v>79.428571428571431</v>
      </c>
      <c r="DP6">
        <v>50.045004500450041</v>
      </c>
      <c r="DQ6">
        <v>4.4285714285714288</v>
      </c>
      <c r="DR6">
        <v>0.7142857142857143</v>
      </c>
      <c r="DS6">
        <v>16.129032258064516</v>
      </c>
      <c r="DT6">
        <v>21.714285714285715</v>
      </c>
      <c r="DU6">
        <v>6.2857142857142856</v>
      </c>
      <c r="DV6">
        <v>28.947368421052634</v>
      </c>
      <c r="DW6">
        <v>1</v>
      </c>
      <c r="DX6">
        <v>0.42857142857142855</v>
      </c>
      <c r="DY6">
        <v>42.857142857142854</v>
      </c>
      <c r="DZ6">
        <v>24.571428571428573</v>
      </c>
      <c r="EA6">
        <v>3</v>
      </c>
      <c r="EB6">
        <v>12.209302325581394</v>
      </c>
      <c r="EC6">
        <v>3.4285714285714284</v>
      </c>
      <c r="ED6">
        <v>0.5714285714285714</v>
      </c>
      <c r="EE6">
        <v>16.666666666666664</v>
      </c>
      <c r="EF6">
        <v>3.7142857142857144</v>
      </c>
      <c r="EG6">
        <v>0.7142857142857143</v>
      </c>
      <c r="EH6">
        <v>19.230769230769234</v>
      </c>
      <c r="EI6">
        <v>0.14285714285714285</v>
      </c>
      <c r="EJ6">
        <v>0.14285714285714285</v>
      </c>
      <c r="EK6">
        <v>100</v>
      </c>
      <c r="EL6">
        <v>11.714285714285714</v>
      </c>
      <c r="EM6">
        <v>3.8571428571428572</v>
      </c>
      <c r="EN6">
        <v>32.926829268292686</v>
      </c>
      <c r="EO6">
        <v>3.5714285714285716</v>
      </c>
      <c r="EP6">
        <v>6</v>
      </c>
      <c r="EQ6">
        <v>19.142857142857142</v>
      </c>
      <c r="ER6">
        <v>3.2857142857142856</v>
      </c>
      <c r="ES6">
        <v>7</v>
      </c>
      <c r="ET6">
        <v>14.857142857142858</v>
      </c>
      <c r="EU6">
        <v>53</v>
      </c>
      <c r="EV6">
        <v>20</v>
      </c>
      <c r="EW6">
        <v>37.735849056603776</v>
      </c>
      <c r="EX6">
        <v>2.2857142857142856</v>
      </c>
      <c r="EY6">
        <v>53.142857142857146</v>
      </c>
      <c r="EZ6">
        <v>34.142857142857146</v>
      </c>
      <c r="FA6">
        <v>64.247311827956992</v>
      </c>
      <c r="FB6">
        <v>26.142857142857142</v>
      </c>
      <c r="FC6">
        <v>12.571428571428571</v>
      </c>
      <c r="FD6">
        <v>48.087431693989068</v>
      </c>
      <c r="FE6">
        <v>2.1428571428571428</v>
      </c>
      <c r="FF6">
        <v>1</v>
      </c>
      <c r="FG6">
        <v>46.666666666666664</v>
      </c>
      <c r="FH6">
        <v>31</v>
      </c>
      <c r="FI6">
        <v>14.142857142857142</v>
      </c>
      <c r="FJ6">
        <v>11.428571428571429</v>
      </c>
      <c r="FK6">
        <v>2.2857142857142856</v>
      </c>
      <c r="FL6">
        <v>0.42857142857142855</v>
      </c>
      <c r="FM6">
        <v>115.71428571428571</v>
      </c>
      <c r="FN6">
        <v>84.571428571428569</v>
      </c>
      <c r="FO6">
        <v>73.086419753086417</v>
      </c>
      <c r="FP6">
        <v>51.857142857142854</v>
      </c>
      <c r="FQ6">
        <v>49.857142857142854</v>
      </c>
      <c r="FR6">
        <v>96.143250688705237</v>
      </c>
      <c r="FS6">
        <v>108</v>
      </c>
      <c r="FT6">
        <v>94.571428571428569</v>
      </c>
      <c r="FU6">
        <v>87.56613756613757</v>
      </c>
      <c r="FV6">
        <v>37.714285714285715</v>
      </c>
      <c r="FW6">
        <v>21.714285714285715</v>
      </c>
      <c r="FX6">
        <v>57.575757575757578</v>
      </c>
      <c r="FY6">
        <v>38.428571428571431</v>
      </c>
      <c r="FZ6">
        <v>28.142857142857142</v>
      </c>
      <c r="GA6">
        <v>73.234200743494426</v>
      </c>
      <c r="GB6">
        <v>58.857142857142854</v>
      </c>
      <c r="GC6">
        <v>41.285714285714285</v>
      </c>
      <c r="GD6">
        <v>70.145631067961162</v>
      </c>
      <c r="GE6">
        <v>0.42857142857142855</v>
      </c>
      <c r="GF6">
        <v>0</v>
      </c>
      <c r="GG6">
        <v>0</v>
      </c>
      <c r="GH6">
        <v>15.571428571428571</v>
      </c>
      <c r="GI6">
        <v>13.571428571428571</v>
      </c>
      <c r="GJ6">
        <v>87.155963302752298</v>
      </c>
      <c r="GK6">
        <v>8.2857142857142865</v>
      </c>
      <c r="GL6">
        <v>15.585714285714285</v>
      </c>
      <c r="GM6">
        <v>3.705714285714286</v>
      </c>
      <c r="GN6">
        <v>12.012857142857143</v>
      </c>
      <c r="GO6">
        <v>18.62</v>
      </c>
      <c r="GP6">
        <v>19.135714285714283</v>
      </c>
      <c r="GQ6">
        <v>13.314285714285713</v>
      </c>
      <c r="GR6">
        <f t="shared" si="2"/>
        <v>1.8571428571428572</v>
      </c>
      <c r="GS6">
        <f t="shared" si="3"/>
        <v>1.0271428571428574</v>
      </c>
      <c r="GT6">
        <f t="shared" si="4"/>
        <v>-4.0000000000000036E-2</v>
      </c>
      <c r="GU6">
        <f t="shared" si="5"/>
        <v>-0.4214285714285716</v>
      </c>
      <c r="GV6">
        <f t="shared" si="6"/>
        <v>9.571428571428573</v>
      </c>
      <c r="GW6">
        <f t="shared" si="7"/>
        <v>5.7142857142857135</v>
      </c>
      <c r="GX6" s="2">
        <f t="shared" si="8"/>
        <v>0.44323144104803491</v>
      </c>
      <c r="GY6" s="2">
        <f t="shared" si="9"/>
        <v>0.42794759825327511</v>
      </c>
      <c r="GZ6" s="2">
        <f t="shared" si="10"/>
        <v>0.12882096069868995</v>
      </c>
      <c r="HA6">
        <f t="shared" si="11"/>
        <v>0.14148148148148149</v>
      </c>
      <c r="HB6">
        <f t="shared" si="12"/>
        <v>0.11197183098591551</v>
      </c>
    </row>
    <row r="7" spans="1:210" x14ac:dyDescent="0.2">
      <c r="A7" t="s">
        <v>116</v>
      </c>
      <c r="B7">
        <v>0.77777777777777779</v>
      </c>
      <c r="C7">
        <v>0.55555555555555558</v>
      </c>
      <c r="D7">
        <v>8.6666666666666661</v>
      </c>
      <c r="E7">
        <v>2.6666666666666665</v>
      </c>
      <c r="F7">
        <v>30.76923076923077</v>
      </c>
      <c r="G7">
        <v>332.55555555555554</v>
      </c>
      <c r="H7">
        <v>274.22222222222223</v>
      </c>
      <c r="I7">
        <v>82.459071166054116</v>
      </c>
      <c r="J7">
        <v>44.268888888888888</v>
      </c>
      <c r="K7">
        <v>99.444444444444443</v>
      </c>
      <c r="L7">
        <v>23.444444444444443</v>
      </c>
      <c r="M7">
        <v>36.111111111111114</v>
      </c>
      <c r="N7">
        <v>39.888888888888886</v>
      </c>
      <c r="O7">
        <v>72.666666666666671</v>
      </c>
      <c r="P7">
        <v>37.111111111111114</v>
      </c>
      <c r="Q7">
        <v>28.333333333333332</v>
      </c>
      <c r="R7">
        <v>7.2222222222222223</v>
      </c>
      <c r="S7">
        <v>175.22222222222223</v>
      </c>
      <c r="T7">
        <v>85.333333333333329</v>
      </c>
      <c r="U7">
        <v>48.700063411540903</v>
      </c>
      <c r="V7">
        <v>6</v>
      </c>
      <c r="W7">
        <v>1.3333333333333333</v>
      </c>
      <c r="X7">
        <v>22.222222222222221</v>
      </c>
      <c r="Y7">
        <v>21</v>
      </c>
      <c r="Z7">
        <v>5.7777777777777777</v>
      </c>
      <c r="AA7">
        <v>27.513227513227513</v>
      </c>
      <c r="AB7">
        <v>0.1111111111111111</v>
      </c>
      <c r="AC7">
        <v>0</v>
      </c>
      <c r="AD7">
        <v>0</v>
      </c>
      <c r="AE7">
        <v>25.666666666666668</v>
      </c>
      <c r="AF7">
        <v>2.3333333333333335</v>
      </c>
      <c r="AG7">
        <v>9.0909090909090917</v>
      </c>
      <c r="AH7">
        <v>2.5555555555555554</v>
      </c>
      <c r="AI7">
        <v>0.66666666666666663</v>
      </c>
      <c r="AJ7">
        <v>26.086956521739129</v>
      </c>
      <c r="AK7">
        <v>3.3333333333333335</v>
      </c>
      <c r="AL7">
        <v>0.33333333333333331</v>
      </c>
      <c r="AM7">
        <v>10</v>
      </c>
      <c r="AN7">
        <v>0</v>
      </c>
      <c r="AO7">
        <v>0</v>
      </c>
      <c r="AP7">
        <v>0</v>
      </c>
      <c r="AQ7">
        <v>7.4444444444444446</v>
      </c>
      <c r="AR7">
        <v>2.6666666666666665</v>
      </c>
      <c r="AS7">
        <v>35.820895522388057</v>
      </c>
      <c r="AT7">
        <v>2.5555555555555554</v>
      </c>
      <c r="AU7">
        <v>3.2222222222222223</v>
      </c>
      <c r="AV7">
        <v>13.111111111111111</v>
      </c>
      <c r="AW7">
        <v>1.5555555555555556</v>
      </c>
      <c r="AX7">
        <v>5.333333333333333</v>
      </c>
      <c r="AY7">
        <v>7.333333333333333</v>
      </c>
      <c r="AZ7">
        <v>56.222222222222221</v>
      </c>
      <c r="BA7">
        <v>20.444444444444443</v>
      </c>
      <c r="BB7">
        <v>36.363636363636367</v>
      </c>
      <c r="BC7">
        <v>1.4444444444444444</v>
      </c>
      <c r="BD7">
        <v>66.444444444444443</v>
      </c>
      <c r="BE7">
        <v>42</v>
      </c>
      <c r="BF7">
        <v>63.210702341137129</v>
      </c>
      <c r="BG7">
        <v>28.111111111111111</v>
      </c>
      <c r="BH7">
        <v>13.888888888888889</v>
      </c>
      <c r="BI7">
        <v>49.40711462450593</v>
      </c>
      <c r="BJ7">
        <v>2.8888888888888888</v>
      </c>
      <c r="BK7">
        <v>0.88888888888888884</v>
      </c>
      <c r="BL7">
        <v>30.76923076923077</v>
      </c>
      <c r="BM7">
        <v>39.444444444444443</v>
      </c>
      <c r="BN7">
        <v>17.777777777777779</v>
      </c>
      <c r="BO7">
        <v>13.888888888888889</v>
      </c>
      <c r="BP7">
        <v>2.7777777777777777</v>
      </c>
      <c r="BQ7">
        <v>0.22222222222222221</v>
      </c>
      <c r="BR7">
        <v>119.44444444444444</v>
      </c>
      <c r="BS7">
        <v>87.555555555555557</v>
      </c>
      <c r="BT7">
        <v>73.302325581395351</v>
      </c>
      <c r="BU7">
        <v>47.888888888888886</v>
      </c>
      <c r="BV7">
        <v>45.111111111111114</v>
      </c>
      <c r="BW7">
        <v>94.199535962877036</v>
      </c>
      <c r="BX7">
        <v>109.33333333333333</v>
      </c>
      <c r="BY7">
        <v>94.222222222222229</v>
      </c>
      <c r="BZ7">
        <v>86.178861788617894</v>
      </c>
      <c r="CA7">
        <v>39.333333333333336</v>
      </c>
      <c r="CB7">
        <v>21.333333333333332</v>
      </c>
      <c r="CC7">
        <v>54.237288135593218</v>
      </c>
      <c r="CD7">
        <v>44.555555555555557</v>
      </c>
      <c r="CE7">
        <v>30.555555555555557</v>
      </c>
      <c r="CF7">
        <v>68.578553615960104</v>
      </c>
      <c r="CG7">
        <v>59.666666666666664</v>
      </c>
      <c r="CH7">
        <v>39.888888888888886</v>
      </c>
      <c r="CI7">
        <v>66.852886405959026</v>
      </c>
      <c r="CJ7">
        <v>0.66666666666666663</v>
      </c>
      <c r="CK7">
        <v>0.22222222222222221</v>
      </c>
      <c r="CL7">
        <v>33.333333333333329</v>
      </c>
      <c r="CM7">
        <v>12.555555555555555</v>
      </c>
      <c r="CN7">
        <v>10.666666666666666</v>
      </c>
      <c r="CO7">
        <v>84.955752212389385</v>
      </c>
      <c r="CP7">
        <v>8.6666666666666661</v>
      </c>
      <c r="CQ7">
        <v>16.02</v>
      </c>
      <c r="CR7">
        <v>3.5622222222222217</v>
      </c>
      <c r="CS7">
        <v>12.213333333333333</v>
      </c>
      <c r="CT7">
        <v>24.255555555555553</v>
      </c>
      <c r="CU7">
        <v>18.664444444444442</v>
      </c>
      <c r="CV7">
        <v>13.201111111111111</v>
      </c>
      <c r="CW7">
        <v>1.7777777777777777</v>
      </c>
      <c r="CX7">
        <v>1.6155555555555556</v>
      </c>
      <c r="CY7">
        <v>14.222222222222221</v>
      </c>
      <c r="CZ7">
        <v>5.4444444444444446</v>
      </c>
      <c r="DA7">
        <v>38.28125</v>
      </c>
      <c r="DB7">
        <v>430.55555555555554</v>
      </c>
      <c r="DC7">
        <v>361.22222222222223</v>
      </c>
      <c r="DD7">
        <v>83.896774193548382</v>
      </c>
      <c r="DE7">
        <v>55.731111111111119</v>
      </c>
      <c r="DF7">
        <v>100.44444444444444</v>
      </c>
      <c r="DG7">
        <v>14.222222222222221</v>
      </c>
      <c r="DH7">
        <v>32.666666666666664</v>
      </c>
      <c r="DI7">
        <v>53.555555555555557</v>
      </c>
      <c r="DJ7">
        <v>75</v>
      </c>
      <c r="DK7">
        <v>29.333333333333332</v>
      </c>
      <c r="DL7">
        <v>33.111111111111114</v>
      </c>
      <c r="DM7">
        <v>12.555555555555555</v>
      </c>
      <c r="DN7">
        <v>175.22222222222223</v>
      </c>
      <c r="DO7">
        <v>84.222222222222229</v>
      </c>
      <c r="DP7">
        <v>48.065948002536466</v>
      </c>
      <c r="DQ7">
        <v>7.1111111111111107</v>
      </c>
      <c r="DR7">
        <v>2.1111111111111112</v>
      </c>
      <c r="DS7">
        <v>29.6875</v>
      </c>
      <c r="DT7">
        <v>31</v>
      </c>
      <c r="DU7">
        <v>8.4444444444444446</v>
      </c>
      <c r="DV7">
        <v>27.24014336917563</v>
      </c>
      <c r="DW7">
        <v>1.2222222222222223</v>
      </c>
      <c r="DX7">
        <v>0.77777777777777779</v>
      </c>
      <c r="DY7">
        <v>63.636363636363633</v>
      </c>
      <c r="DZ7">
        <v>26.111111111111111</v>
      </c>
      <c r="EA7">
        <v>4.1111111111111107</v>
      </c>
      <c r="EB7">
        <v>15.74468085106383</v>
      </c>
      <c r="EC7">
        <v>5.1111111111111107</v>
      </c>
      <c r="ED7">
        <v>1.8888888888888888</v>
      </c>
      <c r="EE7">
        <v>36.95652173913043</v>
      </c>
      <c r="EF7">
        <v>3.3333333333333335</v>
      </c>
      <c r="EG7">
        <v>0.88888888888888884</v>
      </c>
      <c r="EH7">
        <v>26.666666666666668</v>
      </c>
      <c r="EI7">
        <v>0.22222222222222221</v>
      </c>
      <c r="EJ7">
        <v>0.22222222222222221</v>
      </c>
      <c r="EK7">
        <v>100</v>
      </c>
      <c r="EL7">
        <v>13.888888888888889</v>
      </c>
      <c r="EM7">
        <v>3.6666666666666665</v>
      </c>
      <c r="EN7">
        <v>26.400000000000002</v>
      </c>
      <c r="EO7">
        <v>3.4444444444444446</v>
      </c>
      <c r="EP7">
        <v>8.6666666666666661</v>
      </c>
      <c r="EQ7">
        <v>24.333333333333332</v>
      </c>
      <c r="ER7">
        <v>4.1111111111111107</v>
      </c>
      <c r="ES7">
        <v>8.7777777777777786</v>
      </c>
      <c r="ET7">
        <v>18.555555555555557</v>
      </c>
      <c r="EU7">
        <v>66.444444444444443</v>
      </c>
      <c r="EV7">
        <v>24.444444444444443</v>
      </c>
      <c r="EW7">
        <v>36.789297658862871</v>
      </c>
      <c r="EX7">
        <v>2.7777777777777777</v>
      </c>
      <c r="EY7">
        <v>56.222222222222221</v>
      </c>
      <c r="EZ7">
        <v>35.777777777777779</v>
      </c>
      <c r="FA7">
        <v>63.636363636363633</v>
      </c>
      <c r="FB7">
        <v>28.111111111111111</v>
      </c>
      <c r="FC7">
        <v>12</v>
      </c>
      <c r="FD7">
        <v>42.687747035573118</v>
      </c>
      <c r="FE7">
        <v>3.2222222222222223</v>
      </c>
      <c r="FF7">
        <v>1.4444444444444444</v>
      </c>
      <c r="FG7">
        <v>44.827586206896555</v>
      </c>
      <c r="FH7">
        <v>32.333333333333336</v>
      </c>
      <c r="FI7">
        <v>10.111111111111111</v>
      </c>
      <c r="FJ7">
        <v>13.888888888888889</v>
      </c>
      <c r="FK7">
        <v>2.5555555555555554</v>
      </c>
      <c r="FL7">
        <v>0.22222222222222221</v>
      </c>
      <c r="FM7">
        <v>149.44444444444446</v>
      </c>
      <c r="FN7">
        <v>113.44444444444444</v>
      </c>
      <c r="FO7">
        <v>75.910780669144984</v>
      </c>
      <c r="FP7">
        <v>63.111111111111114</v>
      </c>
      <c r="FQ7">
        <v>59.333333333333336</v>
      </c>
      <c r="FR7">
        <v>94.014084507042256</v>
      </c>
      <c r="FS7">
        <v>144.44444444444446</v>
      </c>
      <c r="FT7">
        <v>127</v>
      </c>
      <c r="FU7">
        <v>87.92307692307692</v>
      </c>
      <c r="FV7">
        <v>44.333333333333336</v>
      </c>
      <c r="FW7">
        <v>26.333333333333332</v>
      </c>
      <c r="FX7">
        <v>59.398496240601503</v>
      </c>
      <c r="FY7">
        <v>56.888888888888886</v>
      </c>
      <c r="FZ7">
        <v>41.333333333333336</v>
      </c>
      <c r="GA7">
        <v>72.65625</v>
      </c>
      <c r="GB7">
        <v>72</v>
      </c>
      <c r="GC7">
        <v>55.555555555555557</v>
      </c>
      <c r="GD7">
        <v>77.160493827160494</v>
      </c>
      <c r="GE7">
        <v>2.2222222222222223</v>
      </c>
      <c r="GF7">
        <v>1.3333333333333333</v>
      </c>
      <c r="GG7">
        <v>60</v>
      </c>
      <c r="GH7">
        <v>19.222222222222221</v>
      </c>
      <c r="GI7">
        <v>16.888888888888889</v>
      </c>
      <c r="GJ7">
        <v>87.861271676300575</v>
      </c>
      <c r="GK7">
        <v>7.1111111111111107</v>
      </c>
      <c r="GL7">
        <v>16.263333333333335</v>
      </c>
      <c r="GM7">
        <v>4.1677777777777774</v>
      </c>
      <c r="GN7">
        <v>10.774444444444445</v>
      </c>
      <c r="GO7">
        <v>20.755555555555556</v>
      </c>
      <c r="GP7">
        <v>19.073333333333334</v>
      </c>
      <c r="GQ7">
        <v>9.0555555555555571</v>
      </c>
      <c r="GR7">
        <f t="shared" si="2"/>
        <v>0.55555555555555558</v>
      </c>
      <c r="GS7">
        <f t="shared" si="3"/>
        <v>1.4466666666666668</v>
      </c>
      <c r="GT7">
        <f t="shared" si="4"/>
        <v>0.22222222222222221</v>
      </c>
      <c r="GU7">
        <f t="shared" si="5"/>
        <v>0.16222222222222205</v>
      </c>
      <c r="GV7">
        <f t="shared" si="6"/>
        <v>2.6666666666666661</v>
      </c>
      <c r="GW7">
        <f t="shared" si="7"/>
        <v>7.1111111111111107</v>
      </c>
      <c r="GX7" s="2">
        <f t="shared" si="8"/>
        <v>0.5107033639143731</v>
      </c>
      <c r="GY7" s="2">
        <f t="shared" si="9"/>
        <v>0.38990825688073388</v>
      </c>
      <c r="GZ7" s="2">
        <f t="shared" si="10"/>
        <v>9.9388379204892963E-2</v>
      </c>
      <c r="HA7">
        <f t="shared" si="11"/>
        <v>6.4102564102564111E-2</v>
      </c>
      <c r="HB7">
        <f t="shared" si="12"/>
        <v>0.11359375000000001</v>
      </c>
    </row>
    <row r="8" spans="1:210" x14ac:dyDescent="0.2">
      <c r="A8" t="s">
        <v>117</v>
      </c>
      <c r="B8">
        <v>1.5555555555555556</v>
      </c>
      <c r="C8">
        <v>1.0655555555555556</v>
      </c>
      <c r="D8">
        <v>7.7777777777777777</v>
      </c>
      <c r="E8">
        <v>3.4444444444444446</v>
      </c>
      <c r="F8">
        <v>44.285714285714285</v>
      </c>
      <c r="G8">
        <v>349.11111111111109</v>
      </c>
      <c r="H8">
        <v>287.77777777777777</v>
      </c>
      <c r="I8">
        <v>82.431572246976444</v>
      </c>
      <c r="J8">
        <v>45.767777777777773</v>
      </c>
      <c r="K8">
        <v>96</v>
      </c>
      <c r="L8">
        <v>23.666666666666668</v>
      </c>
      <c r="M8">
        <v>38</v>
      </c>
      <c r="N8">
        <v>34.333333333333336</v>
      </c>
      <c r="O8">
        <v>69.888888888888886</v>
      </c>
      <c r="P8">
        <v>41.777777777777779</v>
      </c>
      <c r="Q8">
        <v>21.555555555555557</v>
      </c>
      <c r="R8">
        <v>6.5555555555555554</v>
      </c>
      <c r="S8">
        <v>169.22222222222223</v>
      </c>
      <c r="T8">
        <v>79</v>
      </c>
      <c r="U8">
        <v>46.684175968483252</v>
      </c>
      <c r="V8">
        <v>4.5555555555555554</v>
      </c>
      <c r="W8">
        <v>1.3333333333333333</v>
      </c>
      <c r="X8">
        <v>29.268292682926827</v>
      </c>
      <c r="Y8">
        <v>18.222222222222221</v>
      </c>
      <c r="Z8">
        <v>4.8888888888888893</v>
      </c>
      <c r="AA8">
        <v>26.829268292682929</v>
      </c>
      <c r="AB8">
        <v>1.1111111111111112</v>
      </c>
      <c r="AC8">
        <v>0.1111111111111111</v>
      </c>
      <c r="AD8">
        <v>10</v>
      </c>
      <c r="AE8">
        <v>23.444444444444443</v>
      </c>
      <c r="AF8">
        <v>2.3333333333333335</v>
      </c>
      <c r="AG8">
        <v>9.9526066350710902</v>
      </c>
      <c r="AH8">
        <v>3.2222222222222223</v>
      </c>
      <c r="AI8">
        <v>1.1111111111111112</v>
      </c>
      <c r="AJ8">
        <v>34.482758620689658</v>
      </c>
      <c r="AK8">
        <v>2</v>
      </c>
      <c r="AL8">
        <v>0.44444444444444442</v>
      </c>
      <c r="AM8">
        <v>22.222222222222221</v>
      </c>
      <c r="AN8">
        <v>0.33333333333333331</v>
      </c>
      <c r="AO8">
        <v>0.33333333333333331</v>
      </c>
      <c r="AP8">
        <v>100</v>
      </c>
      <c r="AQ8">
        <v>10.555555555555555</v>
      </c>
      <c r="AR8">
        <v>2.8888888888888888</v>
      </c>
      <c r="AS8">
        <v>27.368421052631582</v>
      </c>
      <c r="AT8">
        <v>2.3333333333333335</v>
      </c>
      <c r="AU8">
        <v>3.5555555555555554</v>
      </c>
      <c r="AV8">
        <v>13.888888888888889</v>
      </c>
      <c r="AW8">
        <v>2.7777777777777777</v>
      </c>
      <c r="AX8">
        <v>5.4444444444444446</v>
      </c>
      <c r="AY8">
        <v>9.5555555555555554</v>
      </c>
      <c r="AZ8">
        <v>58.444444444444443</v>
      </c>
      <c r="BA8">
        <v>22</v>
      </c>
      <c r="BB8">
        <v>37.642585551330797</v>
      </c>
      <c r="BC8">
        <v>2</v>
      </c>
      <c r="BD8">
        <v>62.444444444444443</v>
      </c>
      <c r="BE8">
        <v>36.111111111111114</v>
      </c>
      <c r="BF8">
        <v>57.829181494661917</v>
      </c>
      <c r="BG8">
        <v>30.777777777777779</v>
      </c>
      <c r="BH8">
        <v>13.444444444444445</v>
      </c>
      <c r="BI8">
        <v>43.682310469314075</v>
      </c>
      <c r="BJ8">
        <v>2.2222222222222223</v>
      </c>
      <c r="BK8">
        <v>1.6666666666666667</v>
      </c>
      <c r="BL8">
        <v>75</v>
      </c>
      <c r="BM8">
        <v>44.666666666666664</v>
      </c>
      <c r="BN8">
        <v>17.222222222222221</v>
      </c>
      <c r="BO8">
        <v>11.444444444444445</v>
      </c>
      <c r="BP8">
        <v>2.5555555555555554</v>
      </c>
      <c r="BQ8">
        <v>0.44444444444444442</v>
      </c>
      <c r="BR8">
        <v>121.55555555555556</v>
      </c>
      <c r="BS8">
        <v>89.666666666666671</v>
      </c>
      <c r="BT8">
        <v>73.765996343692876</v>
      </c>
      <c r="BU8">
        <v>54.666666666666664</v>
      </c>
      <c r="BV8">
        <v>50.555555555555557</v>
      </c>
      <c r="BW8">
        <v>92.479674796747972</v>
      </c>
      <c r="BX8">
        <v>115.44444444444444</v>
      </c>
      <c r="BY8">
        <v>100.22222222222223</v>
      </c>
      <c r="BZ8">
        <v>86.81424446583253</v>
      </c>
      <c r="CA8">
        <v>42.222222222222221</v>
      </c>
      <c r="CB8">
        <v>22.555555555555557</v>
      </c>
      <c r="CC8">
        <v>53.421052631578945</v>
      </c>
      <c r="CD8">
        <v>35.888888888888886</v>
      </c>
      <c r="CE8">
        <v>23.666666666666668</v>
      </c>
      <c r="CF8">
        <v>65.944272445820431</v>
      </c>
      <c r="CG8">
        <v>62.444444444444443</v>
      </c>
      <c r="CH8">
        <v>39.333333333333336</v>
      </c>
      <c r="CI8">
        <v>62.989323843416365</v>
      </c>
      <c r="CJ8">
        <v>0.44444444444444442</v>
      </c>
      <c r="CK8">
        <v>0.33333333333333331</v>
      </c>
      <c r="CL8">
        <v>75</v>
      </c>
      <c r="CM8">
        <v>13.111111111111111</v>
      </c>
      <c r="CN8">
        <v>11.777777777777779</v>
      </c>
      <c r="CO8">
        <v>89.830508474576277</v>
      </c>
      <c r="CP8">
        <v>9.4444444444444446</v>
      </c>
      <c r="CQ8">
        <v>16.152222222222221</v>
      </c>
      <c r="CR8">
        <v>3.6500000000000004</v>
      </c>
      <c r="CS8">
        <v>12.263333333333335</v>
      </c>
      <c r="CT8">
        <v>19.586666666666666</v>
      </c>
      <c r="CU8">
        <v>19.362222222222226</v>
      </c>
      <c r="CV8">
        <v>13.708888888888888</v>
      </c>
      <c r="CW8">
        <v>2.1111111111111112</v>
      </c>
      <c r="CX8">
        <v>1.887777777777778</v>
      </c>
      <c r="CY8">
        <v>17.555555555555557</v>
      </c>
      <c r="CZ8">
        <v>6.5555555555555554</v>
      </c>
      <c r="DA8">
        <v>37.341772151898731</v>
      </c>
      <c r="DB8">
        <v>425.55555555555554</v>
      </c>
      <c r="DC8">
        <v>358</v>
      </c>
      <c r="DD8">
        <v>84.125326370757179</v>
      </c>
      <c r="DE8">
        <v>54.232222222222219</v>
      </c>
      <c r="DF8">
        <v>94.777777777777771</v>
      </c>
      <c r="DG8">
        <v>11.666666666666666</v>
      </c>
      <c r="DH8">
        <v>27.222222222222221</v>
      </c>
      <c r="DI8">
        <v>55.888888888888886</v>
      </c>
      <c r="DJ8">
        <v>73.444444444444443</v>
      </c>
      <c r="DK8">
        <v>25.222222222222221</v>
      </c>
      <c r="DL8">
        <v>33.111111111111114</v>
      </c>
      <c r="DM8">
        <v>15.111111111111111</v>
      </c>
      <c r="DN8">
        <v>169.22222222222223</v>
      </c>
      <c r="DO8">
        <v>85</v>
      </c>
      <c r="DP8">
        <v>50.229809586342746</v>
      </c>
      <c r="DQ8">
        <v>6.666666666666667</v>
      </c>
      <c r="DR8">
        <v>1.8888888888888888</v>
      </c>
      <c r="DS8">
        <v>28.333333333333332</v>
      </c>
      <c r="DT8">
        <v>35.777777777777779</v>
      </c>
      <c r="DU8">
        <v>11.111111111111111</v>
      </c>
      <c r="DV8">
        <v>31.05590062111801</v>
      </c>
      <c r="DW8">
        <v>1.1111111111111112</v>
      </c>
      <c r="DX8">
        <v>0.55555555555555558</v>
      </c>
      <c r="DY8">
        <v>50</v>
      </c>
      <c r="DZ8">
        <v>25.666666666666668</v>
      </c>
      <c r="EA8">
        <v>5</v>
      </c>
      <c r="EB8">
        <v>19.480519480519483</v>
      </c>
      <c r="EC8">
        <v>7.333333333333333</v>
      </c>
      <c r="ED8">
        <v>2.3333333333333335</v>
      </c>
      <c r="EE8">
        <v>31.818181818181817</v>
      </c>
      <c r="EF8">
        <v>3.1111111111111112</v>
      </c>
      <c r="EG8">
        <v>0.77777777777777779</v>
      </c>
      <c r="EH8">
        <v>25</v>
      </c>
      <c r="EI8">
        <v>0.1111111111111111</v>
      </c>
      <c r="EJ8">
        <v>0.1111111111111111</v>
      </c>
      <c r="EK8">
        <v>100</v>
      </c>
      <c r="EL8">
        <v>22.111111111111111</v>
      </c>
      <c r="EM8">
        <v>6.8888888888888893</v>
      </c>
      <c r="EN8">
        <v>31.155778894472363</v>
      </c>
      <c r="EO8">
        <v>6.7777777777777777</v>
      </c>
      <c r="EP8">
        <v>10.333333333333334</v>
      </c>
      <c r="EQ8">
        <v>30.777777777777779</v>
      </c>
      <c r="ER8">
        <v>5.333333333333333</v>
      </c>
      <c r="ES8">
        <v>11.555555555555555</v>
      </c>
      <c r="ET8">
        <v>26.444444444444443</v>
      </c>
      <c r="EU8">
        <v>62.444444444444443</v>
      </c>
      <c r="EV8">
        <v>26.333333333333332</v>
      </c>
      <c r="EW8">
        <v>42.170818505338076</v>
      </c>
      <c r="EX8">
        <v>1.3333333333333333</v>
      </c>
      <c r="EY8">
        <v>58.444444444444443</v>
      </c>
      <c r="EZ8">
        <v>36.444444444444443</v>
      </c>
      <c r="FA8">
        <v>62.357414448669203</v>
      </c>
      <c r="FB8">
        <v>30.777777777777779</v>
      </c>
      <c r="FC8">
        <v>14.777777777777779</v>
      </c>
      <c r="FD8">
        <v>48.014440433212997</v>
      </c>
      <c r="FE8">
        <v>2.5555555555555554</v>
      </c>
      <c r="FF8">
        <v>1.5555555555555556</v>
      </c>
      <c r="FG8">
        <v>60.869565217391312</v>
      </c>
      <c r="FH8">
        <v>28</v>
      </c>
      <c r="FI8">
        <v>11.333333333333334</v>
      </c>
      <c r="FJ8">
        <v>11.666666666666666</v>
      </c>
      <c r="FK8">
        <v>2.6666666666666665</v>
      </c>
      <c r="FL8">
        <v>0</v>
      </c>
      <c r="FM8">
        <v>142.44444444444446</v>
      </c>
      <c r="FN8">
        <v>110.22222222222223</v>
      </c>
      <c r="FO8">
        <v>77.379095163806554</v>
      </c>
      <c r="FP8">
        <v>58.888888888888886</v>
      </c>
      <c r="FQ8">
        <v>54</v>
      </c>
      <c r="FR8">
        <v>91.698113207547166</v>
      </c>
      <c r="FS8">
        <v>149.22222222222223</v>
      </c>
      <c r="FT8">
        <v>131.88888888888889</v>
      </c>
      <c r="FU8">
        <v>88.38421444527178</v>
      </c>
      <c r="FV8">
        <v>39.666666666666664</v>
      </c>
      <c r="FW8">
        <v>22.444444444444443</v>
      </c>
      <c r="FX8">
        <v>56.582633053221286</v>
      </c>
      <c r="FY8">
        <v>61.222222222222221</v>
      </c>
      <c r="FZ8">
        <v>44.111111111111114</v>
      </c>
      <c r="GA8">
        <v>72.050816696914694</v>
      </c>
      <c r="GB8">
        <v>67.777777777777771</v>
      </c>
      <c r="GC8">
        <v>55.444444444444443</v>
      </c>
      <c r="GD8">
        <v>81.8032786885246</v>
      </c>
      <c r="GE8">
        <v>1</v>
      </c>
      <c r="GF8">
        <v>0.44444444444444442</v>
      </c>
      <c r="GG8">
        <v>44.444444444444443</v>
      </c>
      <c r="GH8">
        <v>18.111111111111111</v>
      </c>
      <c r="GI8">
        <v>15.777777777777779</v>
      </c>
      <c r="GJ8">
        <v>87.116564417177912</v>
      </c>
      <c r="GK8">
        <v>5.333333333333333</v>
      </c>
      <c r="GL8">
        <v>16.565555555555555</v>
      </c>
      <c r="GM8">
        <v>4.257777777777779</v>
      </c>
      <c r="GN8">
        <v>9.8066666666666666</v>
      </c>
      <c r="GO8">
        <v>17.602222222222224</v>
      </c>
      <c r="GP8">
        <v>18.983333333333334</v>
      </c>
      <c r="GQ8">
        <v>10.518888888888888</v>
      </c>
      <c r="GR8">
        <f t="shared" si="2"/>
        <v>0.81222222222222229</v>
      </c>
      <c r="GS8">
        <f t="shared" si="3"/>
        <v>1.8033333333333335</v>
      </c>
      <c r="GT8">
        <f t="shared" si="4"/>
        <v>0.49</v>
      </c>
      <c r="GU8">
        <f t="shared" si="5"/>
        <v>0.22333333333333316</v>
      </c>
      <c r="GV8">
        <f t="shared" si="6"/>
        <v>3.2222222222222223</v>
      </c>
      <c r="GW8">
        <f t="shared" si="7"/>
        <v>10.888888888888889</v>
      </c>
      <c r="GX8" s="2">
        <f t="shared" si="8"/>
        <v>0.5977742448330684</v>
      </c>
      <c r="GY8" s="2">
        <f t="shared" si="9"/>
        <v>0.30842607313195552</v>
      </c>
      <c r="GZ8" s="2">
        <f t="shared" si="10"/>
        <v>9.3799682034976156E-2</v>
      </c>
      <c r="HA8">
        <f t="shared" si="11"/>
        <v>0.13700000000000001</v>
      </c>
      <c r="HB8">
        <f t="shared" si="12"/>
        <v>0.10753164556962026</v>
      </c>
    </row>
    <row r="9" spans="1:210" x14ac:dyDescent="0.2">
      <c r="A9" t="s">
        <v>118</v>
      </c>
      <c r="B9" s="1">
        <v>1.2222222222222223</v>
      </c>
      <c r="C9" s="1">
        <v>1.0988888888888888</v>
      </c>
      <c r="D9" s="1">
        <v>11.888888888888889</v>
      </c>
      <c r="E9" s="1">
        <v>3.7777777777777777</v>
      </c>
      <c r="F9" s="1">
        <v>31.775700934579437</v>
      </c>
      <c r="G9" s="1">
        <v>366.33333333333331</v>
      </c>
      <c r="H9" s="1">
        <v>305.88888888888891</v>
      </c>
      <c r="I9" s="1">
        <v>83.500151653017895</v>
      </c>
      <c r="J9" s="1">
        <v>50.131111111111103</v>
      </c>
      <c r="K9" s="1">
        <v>99.888888888888886</v>
      </c>
      <c r="L9" s="1">
        <v>12.444444444444445</v>
      </c>
      <c r="M9" s="1">
        <v>37.333333333333336</v>
      </c>
      <c r="N9" s="1">
        <v>50.111111111111114</v>
      </c>
      <c r="O9" s="1">
        <v>75.555555555555557</v>
      </c>
      <c r="P9" s="1">
        <v>32.111111111111114</v>
      </c>
      <c r="Q9" s="1">
        <v>33.555555555555557</v>
      </c>
      <c r="R9" s="1">
        <v>9.8888888888888893</v>
      </c>
      <c r="S9" s="1">
        <v>182.88888888888889</v>
      </c>
      <c r="T9" s="1">
        <v>87.555555555555557</v>
      </c>
      <c r="U9" s="1">
        <v>47.873633049817741</v>
      </c>
      <c r="V9" s="1">
        <v>6.333333333333333</v>
      </c>
      <c r="W9" s="1">
        <v>1.7777777777777777</v>
      </c>
      <c r="X9" s="1">
        <v>28.07017543859649</v>
      </c>
      <c r="Y9" s="1">
        <v>28.888888888888889</v>
      </c>
      <c r="Z9" s="1">
        <v>7.5555555555555554</v>
      </c>
      <c r="AA9" s="1">
        <v>26.153846153846157</v>
      </c>
      <c r="AB9" s="1">
        <v>0.88888888888888884</v>
      </c>
      <c r="AC9" s="1">
        <v>0.33333333333333331</v>
      </c>
      <c r="AD9" s="1">
        <v>37.5</v>
      </c>
      <c r="AE9" s="1">
        <v>26.333333333333332</v>
      </c>
      <c r="AF9" s="1">
        <v>3.3333333333333335</v>
      </c>
      <c r="AG9" s="1">
        <v>12.658227848101266</v>
      </c>
      <c r="AH9" s="1">
        <v>4.4444444444444446</v>
      </c>
      <c r="AI9" s="1">
        <v>1.3333333333333333</v>
      </c>
      <c r="AJ9" s="1">
        <v>30</v>
      </c>
      <c r="AK9" s="1">
        <v>2.2222222222222223</v>
      </c>
      <c r="AL9" s="1">
        <v>0.44444444444444442</v>
      </c>
      <c r="AM9" s="1">
        <v>20</v>
      </c>
      <c r="AN9" s="1">
        <v>0.1111111111111111</v>
      </c>
      <c r="AO9" s="1">
        <v>0.1111111111111111</v>
      </c>
      <c r="AP9" s="1">
        <v>100</v>
      </c>
      <c r="AQ9" s="1">
        <v>14</v>
      </c>
      <c r="AR9" s="1">
        <v>3.7777777777777777</v>
      </c>
      <c r="AS9" s="1">
        <v>26.984126984126984</v>
      </c>
      <c r="AT9" s="1">
        <v>4.2222222222222223</v>
      </c>
      <c r="AU9" s="1">
        <v>7.2222222222222223</v>
      </c>
      <c r="AV9" s="1">
        <v>21.888888888888889</v>
      </c>
      <c r="AW9" s="1">
        <v>2.8888888888888888</v>
      </c>
      <c r="AX9" s="1">
        <v>7.1111111111111107</v>
      </c>
      <c r="AY9" s="1">
        <v>14</v>
      </c>
      <c r="AZ9" s="1">
        <v>60.777777777777779</v>
      </c>
      <c r="BA9" s="1">
        <v>23.111111111111111</v>
      </c>
      <c r="BB9" s="1">
        <v>38.025594149908592</v>
      </c>
      <c r="BC9" s="1">
        <v>1.2222222222222223</v>
      </c>
      <c r="BD9" s="1">
        <v>64.888888888888886</v>
      </c>
      <c r="BE9" s="1">
        <v>38.444444444444443</v>
      </c>
      <c r="BF9" s="1">
        <v>59.246575342465761</v>
      </c>
      <c r="BG9" s="1">
        <v>36.444444444444443</v>
      </c>
      <c r="BH9" s="1">
        <v>16.777777777777779</v>
      </c>
      <c r="BI9" s="1">
        <v>46.036585365853661</v>
      </c>
      <c r="BJ9" s="1">
        <v>2.6666666666666665</v>
      </c>
      <c r="BK9" s="1">
        <v>1.5555555555555556</v>
      </c>
      <c r="BL9" s="1">
        <v>58.333333333333336</v>
      </c>
      <c r="BM9" s="1">
        <v>30.888888888888889</v>
      </c>
      <c r="BN9" s="1">
        <v>15.222222222222221</v>
      </c>
      <c r="BO9" s="1">
        <v>15.444444444444445</v>
      </c>
      <c r="BP9" s="1">
        <v>3</v>
      </c>
      <c r="BQ9" s="1">
        <v>0.22222222222222221</v>
      </c>
      <c r="BR9" s="1">
        <v>133.55555555555554</v>
      </c>
      <c r="BS9" s="1">
        <v>100.77777777777777</v>
      </c>
      <c r="BT9" s="1">
        <v>75.457570715474205</v>
      </c>
      <c r="BU9" s="1">
        <v>48.333333333333336</v>
      </c>
      <c r="BV9" s="1">
        <v>45.444444444444443</v>
      </c>
      <c r="BW9" s="1">
        <v>94.022988505747122</v>
      </c>
      <c r="BX9" s="1">
        <v>121.33333333333333</v>
      </c>
      <c r="BY9" s="1">
        <v>106.66666666666667</v>
      </c>
      <c r="BZ9" s="1">
        <v>87.912087912087912</v>
      </c>
      <c r="CA9" s="1">
        <v>40.444444444444443</v>
      </c>
      <c r="CB9" s="1">
        <v>23.222222222222221</v>
      </c>
      <c r="CC9" s="1">
        <v>57.417582417582416</v>
      </c>
      <c r="CD9" s="1">
        <v>48.111111111111114</v>
      </c>
      <c r="CE9" s="1">
        <v>34</v>
      </c>
      <c r="CF9" s="1">
        <v>70.669745958429559</v>
      </c>
      <c r="CG9" s="1">
        <v>62.777777777777779</v>
      </c>
      <c r="CH9" s="1">
        <v>50.333333333333336</v>
      </c>
      <c r="CI9" s="1">
        <v>80.176991150442475</v>
      </c>
      <c r="CJ9" s="1">
        <v>1.1111111111111112</v>
      </c>
      <c r="CK9" s="1">
        <v>0.55555555555555558</v>
      </c>
      <c r="CL9" s="1">
        <v>50</v>
      </c>
      <c r="CM9" s="1">
        <v>17.333333333333332</v>
      </c>
      <c r="CN9" s="1">
        <v>15.555555555555555</v>
      </c>
      <c r="CO9" s="1">
        <v>89.743589743589752</v>
      </c>
      <c r="CP9" s="1">
        <v>8.4444444444444446</v>
      </c>
      <c r="CQ9" s="1">
        <v>16.115555555555556</v>
      </c>
      <c r="CR9" s="1">
        <v>3.8311111111111114</v>
      </c>
      <c r="CS9" s="1">
        <v>11.434444444444445</v>
      </c>
      <c r="CT9" s="1">
        <v>20.048888888888886</v>
      </c>
      <c r="CU9" s="1">
        <v>18.951111111111107</v>
      </c>
      <c r="CV9" s="1">
        <v>8.8577777777777769</v>
      </c>
      <c r="CW9">
        <v>0.88888888888888884</v>
      </c>
      <c r="CX9">
        <v>1.1444444444444446</v>
      </c>
      <c r="CY9">
        <v>11.222222222222221</v>
      </c>
      <c r="CZ9">
        <v>3.1111111111111112</v>
      </c>
      <c r="DA9">
        <v>27.722772277227726</v>
      </c>
      <c r="DB9">
        <v>349.66666666666669</v>
      </c>
      <c r="DC9">
        <v>287.77777777777777</v>
      </c>
      <c r="DD9">
        <v>82.3006037496028</v>
      </c>
      <c r="DE9">
        <v>49.868888888888897</v>
      </c>
      <c r="DF9">
        <v>101</v>
      </c>
      <c r="DG9">
        <v>18.111111111111111</v>
      </c>
      <c r="DH9">
        <v>41.111111111111114</v>
      </c>
      <c r="DI9">
        <v>41.777777777777779</v>
      </c>
      <c r="DJ9">
        <v>73.666666666666671</v>
      </c>
      <c r="DK9">
        <v>38</v>
      </c>
      <c r="DL9">
        <v>27.666666666666668</v>
      </c>
      <c r="DM9">
        <v>8</v>
      </c>
      <c r="DN9">
        <v>182.88888888888889</v>
      </c>
      <c r="DO9">
        <v>89.111111111111114</v>
      </c>
      <c r="DP9">
        <v>48.724179829890645</v>
      </c>
      <c r="DQ9">
        <v>5.8888888888888893</v>
      </c>
      <c r="DR9">
        <v>1.5555555555555556</v>
      </c>
      <c r="DS9">
        <v>26.415094339622641</v>
      </c>
      <c r="DT9">
        <v>23.444444444444443</v>
      </c>
      <c r="DU9">
        <v>6.333333333333333</v>
      </c>
      <c r="DV9">
        <v>27.014218009478675</v>
      </c>
      <c r="DW9">
        <v>0.55555555555555558</v>
      </c>
      <c r="DX9">
        <v>0.44444444444444442</v>
      </c>
      <c r="DY9">
        <v>80</v>
      </c>
      <c r="DZ9">
        <v>27.666666666666668</v>
      </c>
      <c r="EA9">
        <v>3.6666666666666665</v>
      </c>
      <c r="EB9">
        <v>13.253012048192772</v>
      </c>
      <c r="EC9">
        <v>4.7777777777777777</v>
      </c>
      <c r="ED9">
        <v>1.6666666666666667</v>
      </c>
      <c r="EE9">
        <v>34.883720930232556</v>
      </c>
      <c r="EF9">
        <v>3.6666666666666665</v>
      </c>
      <c r="EG9">
        <v>0.55555555555555558</v>
      </c>
      <c r="EH9">
        <v>15.151515151515152</v>
      </c>
      <c r="EI9">
        <v>0</v>
      </c>
      <c r="EJ9">
        <v>0</v>
      </c>
      <c r="EK9">
        <v>0</v>
      </c>
      <c r="EL9">
        <v>11.444444444444445</v>
      </c>
      <c r="EM9">
        <v>4.2222222222222223</v>
      </c>
      <c r="EN9">
        <v>36.893203883495147</v>
      </c>
      <c r="EO9">
        <v>4.333333333333333</v>
      </c>
      <c r="EP9">
        <v>5.666666666666667</v>
      </c>
      <c r="EQ9">
        <v>17.111111111111111</v>
      </c>
      <c r="ER9">
        <v>1.5555555555555556</v>
      </c>
      <c r="ES9">
        <v>6.7777777777777777</v>
      </c>
      <c r="ET9">
        <v>13.333333333333334</v>
      </c>
      <c r="EU9">
        <v>64.888888888888886</v>
      </c>
      <c r="EV9">
        <v>26.444444444444443</v>
      </c>
      <c r="EW9">
        <v>40.753424657534246</v>
      </c>
      <c r="EX9">
        <v>1.4444444444444444</v>
      </c>
      <c r="EY9">
        <v>60.777777777777779</v>
      </c>
      <c r="EZ9">
        <v>37.666666666666664</v>
      </c>
      <c r="FA9">
        <v>61.974405850091408</v>
      </c>
      <c r="FB9">
        <v>36.444444444444443</v>
      </c>
      <c r="FC9">
        <v>15.888888888888889</v>
      </c>
      <c r="FD9">
        <v>43.597560975609753</v>
      </c>
      <c r="FE9">
        <v>3.2222222222222223</v>
      </c>
      <c r="FF9">
        <v>2.2222222222222223</v>
      </c>
      <c r="FG9">
        <v>68.965517241379317</v>
      </c>
      <c r="FH9">
        <v>33.666666666666664</v>
      </c>
      <c r="FI9">
        <v>14.555555555555555</v>
      </c>
      <c r="FJ9">
        <v>12.888888888888889</v>
      </c>
      <c r="FK9">
        <v>3.8888888888888888</v>
      </c>
      <c r="FL9">
        <v>0.44444444444444442</v>
      </c>
      <c r="FM9">
        <v>129.33333333333334</v>
      </c>
      <c r="FN9">
        <v>95.444444444444443</v>
      </c>
      <c r="FO9">
        <v>73.797250859106526</v>
      </c>
      <c r="FP9">
        <v>51.444444444444443</v>
      </c>
      <c r="FQ9">
        <v>47.777777777777779</v>
      </c>
      <c r="FR9">
        <v>92.872570194384451</v>
      </c>
      <c r="FS9">
        <v>112.77777777777777</v>
      </c>
      <c r="FT9">
        <v>99.222222222222229</v>
      </c>
      <c r="FU9">
        <v>87.980295566502463</v>
      </c>
      <c r="FV9">
        <v>37.222222222222221</v>
      </c>
      <c r="FW9">
        <v>18.555555555555557</v>
      </c>
      <c r="FX9">
        <v>49.850746268656714</v>
      </c>
      <c r="FY9">
        <v>45</v>
      </c>
      <c r="FZ9">
        <v>27.888888888888889</v>
      </c>
      <c r="GA9">
        <v>61.97530864197531</v>
      </c>
      <c r="GB9">
        <v>59.444444444444443</v>
      </c>
      <c r="GC9">
        <v>41.888888888888886</v>
      </c>
      <c r="GD9">
        <v>70.467289719626166</v>
      </c>
      <c r="GE9">
        <v>1.1111111111111112</v>
      </c>
      <c r="GF9">
        <v>0.55555555555555558</v>
      </c>
      <c r="GG9">
        <v>50</v>
      </c>
      <c r="GH9">
        <v>15.222222222222221</v>
      </c>
      <c r="GI9">
        <v>14.111111111111111</v>
      </c>
      <c r="GJ9">
        <v>92.700729927007302</v>
      </c>
      <c r="GK9">
        <v>8.1111111111111107</v>
      </c>
      <c r="GL9">
        <v>15.447777777777778</v>
      </c>
      <c r="GM9">
        <v>3.6255555555555556</v>
      </c>
      <c r="GN9">
        <v>11.177777777777781</v>
      </c>
      <c r="GO9">
        <v>19.815555555555555</v>
      </c>
      <c r="GP9">
        <v>19.153333333333332</v>
      </c>
      <c r="GQ9">
        <v>11.111111111111111</v>
      </c>
      <c r="GR9">
        <f t="shared" si="2"/>
        <v>1.0144444444444443</v>
      </c>
      <c r="GS9">
        <f t="shared" si="3"/>
        <v>1.1444444444444446</v>
      </c>
      <c r="GT9">
        <f t="shared" si="4"/>
        <v>0.12333333333333352</v>
      </c>
      <c r="GU9">
        <f t="shared" si="5"/>
        <v>-0.25555555555555576</v>
      </c>
      <c r="GV9">
        <f t="shared" si="6"/>
        <v>5.5555555555555562</v>
      </c>
      <c r="GW9">
        <f t="shared" si="7"/>
        <v>5.3333333333333321</v>
      </c>
      <c r="GX9" s="2">
        <f t="shared" si="8"/>
        <v>0.42500000000000004</v>
      </c>
      <c r="GY9" s="2">
        <f t="shared" si="9"/>
        <v>0.44411764705882356</v>
      </c>
      <c r="GZ9" s="2">
        <f t="shared" si="10"/>
        <v>0.13088235294117648</v>
      </c>
      <c r="HA9">
        <f t="shared" si="11"/>
        <v>9.2429906542056059E-2</v>
      </c>
      <c r="HB9">
        <f t="shared" si="12"/>
        <v>0.101980198019802</v>
      </c>
    </row>
    <row r="10" spans="1:210" x14ac:dyDescent="0.2">
      <c r="A10" t="s">
        <v>119</v>
      </c>
      <c r="B10">
        <v>1.3333333333333333</v>
      </c>
      <c r="C10">
        <v>1.2566666666666668</v>
      </c>
      <c r="D10">
        <v>11.888888888888889</v>
      </c>
      <c r="E10">
        <v>4</v>
      </c>
      <c r="F10">
        <v>33.644859813084111</v>
      </c>
      <c r="G10">
        <v>375.11111111111109</v>
      </c>
      <c r="H10">
        <v>313.66666666666669</v>
      </c>
      <c r="I10">
        <v>83.619668246445499</v>
      </c>
      <c r="J10">
        <v>52.511111111111113</v>
      </c>
      <c r="K10">
        <v>104.77777777777777</v>
      </c>
      <c r="L10">
        <v>17.777777777777779</v>
      </c>
      <c r="M10">
        <v>37.111111111111114</v>
      </c>
      <c r="N10">
        <v>49.888888888888886</v>
      </c>
      <c r="O10">
        <v>74.555555555555557</v>
      </c>
      <c r="P10">
        <v>32.555555555555557</v>
      </c>
      <c r="Q10">
        <v>30.777777777777779</v>
      </c>
      <c r="R10">
        <v>11.222222222222221</v>
      </c>
      <c r="S10">
        <v>192.88888888888889</v>
      </c>
      <c r="T10">
        <v>93.222222222222229</v>
      </c>
      <c r="U10">
        <v>48.329493087557601</v>
      </c>
      <c r="V10">
        <v>5.5555555555555554</v>
      </c>
      <c r="W10">
        <v>1.3333333333333333</v>
      </c>
      <c r="X10">
        <v>24</v>
      </c>
      <c r="Y10">
        <v>27.777777777777779</v>
      </c>
      <c r="Z10">
        <v>7.333333333333333</v>
      </c>
      <c r="AA10">
        <v>26.400000000000002</v>
      </c>
      <c r="AB10">
        <v>0.55555555555555558</v>
      </c>
      <c r="AC10">
        <v>0.33333333333333331</v>
      </c>
      <c r="AD10">
        <v>60</v>
      </c>
      <c r="AE10">
        <v>25.444444444444443</v>
      </c>
      <c r="AF10">
        <v>3.5555555555555554</v>
      </c>
      <c r="AG10">
        <v>13.973799126637553</v>
      </c>
      <c r="AH10">
        <v>3.6666666666666665</v>
      </c>
      <c r="AI10">
        <v>0.88888888888888884</v>
      </c>
      <c r="AJ10">
        <v>24.242424242424242</v>
      </c>
      <c r="AK10">
        <v>3.4444444444444446</v>
      </c>
      <c r="AL10">
        <v>1</v>
      </c>
      <c r="AM10">
        <v>29.032258064516132</v>
      </c>
      <c r="AN10">
        <v>0.22222222222222221</v>
      </c>
      <c r="AO10">
        <v>0.22222222222222221</v>
      </c>
      <c r="AP10">
        <v>100</v>
      </c>
      <c r="AQ10">
        <v>13.777777777777779</v>
      </c>
      <c r="AR10">
        <v>5.4444444444444446</v>
      </c>
      <c r="AS10">
        <v>39.516129032258064</v>
      </c>
      <c r="AT10">
        <v>5</v>
      </c>
      <c r="AU10">
        <v>5.1111111111111107</v>
      </c>
      <c r="AV10">
        <v>19.111111111111111</v>
      </c>
      <c r="AW10">
        <v>3.1111111111111112</v>
      </c>
      <c r="AX10">
        <v>8.3333333333333339</v>
      </c>
      <c r="AY10">
        <v>15</v>
      </c>
      <c r="AZ10">
        <v>66.666666666666671</v>
      </c>
      <c r="BA10">
        <v>24.333333333333332</v>
      </c>
      <c r="BB10">
        <v>36.5</v>
      </c>
      <c r="BC10">
        <v>1.7777777777777777</v>
      </c>
      <c r="BD10">
        <v>62.888888888888886</v>
      </c>
      <c r="BE10">
        <v>41.444444444444443</v>
      </c>
      <c r="BF10">
        <v>65.901060070671377</v>
      </c>
      <c r="BG10">
        <v>37.444444444444443</v>
      </c>
      <c r="BH10">
        <v>18.444444444444443</v>
      </c>
      <c r="BI10">
        <v>49.258160237388729</v>
      </c>
      <c r="BJ10">
        <v>4.4444444444444446</v>
      </c>
      <c r="BK10">
        <v>2.7777777777777777</v>
      </c>
      <c r="BL10">
        <v>62.5</v>
      </c>
      <c r="BM10">
        <v>32.888888888888886</v>
      </c>
      <c r="BN10">
        <v>17.222222222222221</v>
      </c>
      <c r="BO10">
        <v>12</v>
      </c>
      <c r="BP10">
        <v>2.6666666666666665</v>
      </c>
      <c r="BQ10">
        <v>0.33333333333333331</v>
      </c>
      <c r="BR10">
        <v>136.77777777777777</v>
      </c>
      <c r="BS10">
        <v>102.44444444444444</v>
      </c>
      <c r="BT10">
        <v>74.898456539398865</v>
      </c>
      <c r="BU10">
        <v>57.111111111111114</v>
      </c>
      <c r="BV10">
        <v>54.222222222222221</v>
      </c>
      <c r="BW10">
        <v>94.941634241245126</v>
      </c>
      <c r="BX10">
        <v>117.44444444444444</v>
      </c>
      <c r="BY10">
        <v>104</v>
      </c>
      <c r="BZ10">
        <v>88.552507095553452</v>
      </c>
      <c r="CA10">
        <v>44</v>
      </c>
      <c r="CB10">
        <v>24.777777777777779</v>
      </c>
      <c r="CC10">
        <v>56.313131313131315</v>
      </c>
      <c r="CD10">
        <v>54.888888888888886</v>
      </c>
      <c r="CE10">
        <v>37.777777777777779</v>
      </c>
      <c r="CF10">
        <v>68.825910931174079</v>
      </c>
      <c r="CG10">
        <v>67.222222222222229</v>
      </c>
      <c r="CH10">
        <v>51.666666666666664</v>
      </c>
      <c r="CI10">
        <v>76.859504132231407</v>
      </c>
      <c r="CJ10">
        <v>0.55555555555555558</v>
      </c>
      <c r="CK10">
        <v>0.1111111111111111</v>
      </c>
      <c r="CL10">
        <v>20</v>
      </c>
      <c r="CM10">
        <v>19.222222222222221</v>
      </c>
      <c r="CN10">
        <v>16</v>
      </c>
      <c r="CO10">
        <v>83.236994219653184</v>
      </c>
      <c r="CP10">
        <v>7.8888888888888893</v>
      </c>
      <c r="CQ10">
        <v>15.442222222222224</v>
      </c>
      <c r="CR10">
        <v>3.7177777777777781</v>
      </c>
      <c r="CS10">
        <v>12.743333333333332</v>
      </c>
      <c r="CT10">
        <v>19.638888888888889</v>
      </c>
      <c r="CU10">
        <v>19.691111111111113</v>
      </c>
      <c r="CV10">
        <v>9.025555555555556</v>
      </c>
      <c r="CW10">
        <v>1.1111111111111112</v>
      </c>
      <c r="CX10">
        <v>1.1888888888888889</v>
      </c>
      <c r="CY10">
        <v>11.111111111111111</v>
      </c>
      <c r="CZ10">
        <v>4.333333333333333</v>
      </c>
      <c r="DA10">
        <v>39</v>
      </c>
      <c r="DB10">
        <v>340.44444444444446</v>
      </c>
      <c r="DC10">
        <v>272.33333333333331</v>
      </c>
      <c r="DD10">
        <v>79.993472584856391</v>
      </c>
      <c r="DE10">
        <v>47.488888888888887</v>
      </c>
      <c r="DF10">
        <v>102</v>
      </c>
      <c r="DG10">
        <v>16.666666666666668</v>
      </c>
      <c r="DH10">
        <v>39.444444444444443</v>
      </c>
      <c r="DI10">
        <v>45.888888888888886</v>
      </c>
      <c r="DJ10">
        <v>75.444444444444443</v>
      </c>
      <c r="DK10">
        <v>34.777777777777779</v>
      </c>
      <c r="DL10">
        <v>32</v>
      </c>
      <c r="DM10">
        <v>8.6666666666666661</v>
      </c>
      <c r="DN10">
        <v>192.88888888888889</v>
      </c>
      <c r="DO10">
        <v>91.666666666666671</v>
      </c>
      <c r="DP10">
        <v>47.523041474654377</v>
      </c>
      <c r="DQ10">
        <v>6</v>
      </c>
      <c r="DR10">
        <v>1.8888888888888888</v>
      </c>
      <c r="DS10">
        <v>31.481481481481481</v>
      </c>
      <c r="DT10">
        <v>23.777777777777779</v>
      </c>
      <c r="DU10">
        <v>6.666666666666667</v>
      </c>
      <c r="DV10">
        <v>28.037383177570092</v>
      </c>
      <c r="DW10">
        <v>0.66666666666666663</v>
      </c>
      <c r="DX10">
        <v>0.33333333333333331</v>
      </c>
      <c r="DY10">
        <v>50</v>
      </c>
      <c r="DZ10">
        <v>24.444444444444443</v>
      </c>
      <c r="EA10">
        <v>3.4444444444444446</v>
      </c>
      <c r="EB10">
        <v>14.09090909090909</v>
      </c>
      <c r="EC10">
        <v>4.2222222222222223</v>
      </c>
      <c r="ED10">
        <v>1.6666666666666667</v>
      </c>
      <c r="EE10">
        <v>39.473684210526315</v>
      </c>
      <c r="EF10">
        <v>2.7777777777777777</v>
      </c>
      <c r="EG10">
        <v>0.66666666666666663</v>
      </c>
      <c r="EH10">
        <v>24</v>
      </c>
      <c r="EI10">
        <v>0.1111111111111111</v>
      </c>
      <c r="EJ10">
        <v>0.1111111111111111</v>
      </c>
      <c r="EK10">
        <v>100</v>
      </c>
      <c r="EL10">
        <v>11.666666666666666</v>
      </c>
      <c r="EM10">
        <v>3.2222222222222223</v>
      </c>
      <c r="EN10">
        <v>27.61904761904762</v>
      </c>
      <c r="EO10">
        <v>3.5555555555555554</v>
      </c>
      <c r="EP10">
        <v>4.7777777777777777</v>
      </c>
      <c r="EQ10">
        <v>19.111111111111111</v>
      </c>
      <c r="ER10">
        <v>3.4444444444444446</v>
      </c>
      <c r="ES10">
        <v>7.1111111111111107</v>
      </c>
      <c r="ET10">
        <v>13.333333333333334</v>
      </c>
      <c r="EU10">
        <v>62.888888888888886</v>
      </c>
      <c r="EV10">
        <v>21.444444444444443</v>
      </c>
      <c r="EW10">
        <v>34.098939929328623</v>
      </c>
      <c r="EX10">
        <v>2</v>
      </c>
      <c r="EY10">
        <v>66.666666666666671</v>
      </c>
      <c r="EZ10">
        <v>42.333333333333336</v>
      </c>
      <c r="FA10">
        <v>63.5</v>
      </c>
      <c r="FB10">
        <v>37.444444444444443</v>
      </c>
      <c r="FC10">
        <v>15.666666666666666</v>
      </c>
      <c r="FD10">
        <v>41.839762611275965</v>
      </c>
      <c r="FE10">
        <v>4.333333333333333</v>
      </c>
      <c r="FF10">
        <v>2.5555555555555554</v>
      </c>
      <c r="FG10">
        <v>58.974358974358978</v>
      </c>
      <c r="FH10">
        <v>32.444444444444443</v>
      </c>
      <c r="FI10">
        <v>15.111111111111111</v>
      </c>
      <c r="FJ10">
        <v>13.666666666666666</v>
      </c>
      <c r="FK10">
        <v>2.3333333333333335</v>
      </c>
      <c r="FL10">
        <v>0.33333333333333331</v>
      </c>
      <c r="FM10">
        <v>128.11111111111111</v>
      </c>
      <c r="FN10">
        <v>88.888888888888886</v>
      </c>
      <c r="FO10">
        <v>69.384215091066778</v>
      </c>
      <c r="FP10">
        <v>48.555555555555557</v>
      </c>
      <c r="FQ10">
        <v>44.888888888888886</v>
      </c>
      <c r="FR10">
        <v>92.448512585812352</v>
      </c>
      <c r="FS10">
        <v>109.11111111111111</v>
      </c>
      <c r="FT10">
        <v>93.222222222222229</v>
      </c>
      <c r="FU10">
        <v>85.437881873727079</v>
      </c>
      <c r="FV10">
        <v>44.333333333333336</v>
      </c>
      <c r="FW10">
        <v>20.777777777777779</v>
      </c>
      <c r="FX10">
        <v>46.867167919799499</v>
      </c>
      <c r="FY10">
        <v>49.444444444444443</v>
      </c>
      <c r="FZ10">
        <v>30</v>
      </c>
      <c r="GA10">
        <v>60.674157303370791</v>
      </c>
      <c r="GB10">
        <v>64.555555555555557</v>
      </c>
      <c r="GC10">
        <v>44.777777777777779</v>
      </c>
      <c r="GD10">
        <v>69.363166953528406</v>
      </c>
      <c r="GE10">
        <v>1.1111111111111112</v>
      </c>
      <c r="GF10">
        <v>0.55555555555555558</v>
      </c>
      <c r="GG10">
        <v>50</v>
      </c>
      <c r="GH10">
        <v>19.555555555555557</v>
      </c>
      <c r="GI10">
        <v>17.777777777777779</v>
      </c>
      <c r="GJ10">
        <v>90.909090909090907</v>
      </c>
      <c r="GK10">
        <v>7.1111111111111107</v>
      </c>
      <c r="GL10">
        <v>15.953333333333335</v>
      </c>
      <c r="GM10">
        <v>3.4044444444444446</v>
      </c>
      <c r="GN10">
        <v>13.72</v>
      </c>
      <c r="GO10">
        <v>21.392222222222227</v>
      </c>
      <c r="GP10">
        <v>20.172222222222221</v>
      </c>
      <c r="GQ10">
        <v>11.026666666666666</v>
      </c>
      <c r="GR10">
        <f t="shared" si="2"/>
        <v>1.087777777777778</v>
      </c>
      <c r="GS10">
        <f t="shared" si="3"/>
        <v>1.1044444444444443</v>
      </c>
      <c r="GT10">
        <f t="shared" si="4"/>
        <v>7.6666666666666439E-2</v>
      </c>
      <c r="GU10">
        <f t="shared" si="5"/>
        <v>-7.7777777777777724E-2</v>
      </c>
      <c r="GV10">
        <f t="shared" si="6"/>
        <v>6.3333333333333339</v>
      </c>
      <c r="GW10">
        <f t="shared" si="7"/>
        <v>5.1111111111111107</v>
      </c>
      <c r="GX10" s="2">
        <f t="shared" si="8"/>
        <v>0.43666169895678092</v>
      </c>
      <c r="GY10" s="2">
        <f t="shared" si="9"/>
        <v>0.4128166915052161</v>
      </c>
      <c r="GZ10" s="2">
        <f t="shared" si="10"/>
        <v>0.15052160953800298</v>
      </c>
      <c r="HA10">
        <f t="shared" si="11"/>
        <v>0.10570093457943926</v>
      </c>
      <c r="HB10">
        <f t="shared" si="12"/>
        <v>0.107</v>
      </c>
    </row>
    <row r="11" spans="1:210" x14ac:dyDescent="0.2">
      <c r="A11" t="s">
        <v>120</v>
      </c>
      <c r="B11">
        <v>1</v>
      </c>
      <c r="C11">
        <v>0.83250000000000013</v>
      </c>
      <c r="D11">
        <v>8.75</v>
      </c>
      <c r="E11">
        <v>3.625</v>
      </c>
      <c r="F11">
        <v>41.428571428571431</v>
      </c>
      <c r="G11">
        <v>332.625</v>
      </c>
      <c r="H11">
        <v>277.5</v>
      </c>
      <c r="I11">
        <v>83.42728297632469</v>
      </c>
      <c r="J11">
        <v>41.481250000000003</v>
      </c>
      <c r="K11">
        <v>86.75</v>
      </c>
      <c r="L11">
        <v>19.5</v>
      </c>
      <c r="M11">
        <v>37.875</v>
      </c>
      <c r="N11">
        <v>29.375</v>
      </c>
      <c r="O11">
        <v>60.375</v>
      </c>
      <c r="P11">
        <v>32.375</v>
      </c>
      <c r="Q11">
        <v>22.875</v>
      </c>
      <c r="R11">
        <v>5.125</v>
      </c>
      <c r="S11">
        <v>148</v>
      </c>
      <c r="T11">
        <v>69.375</v>
      </c>
      <c r="U11">
        <v>46.875</v>
      </c>
      <c r="V11">
        <v>5.25</v>
      </c>
      <c r="W11">
        <v>1.75</v>
      </c>
      <c r="X11">
        <v>33.333333333333329</v>
      </c>
      <c r="Y11">
        <v>17</v>
      </c>
      <c r="Z11">
        <v>5.375</v>
      </c>
      <c r="AA11">
        <v>31.617647058823529</v>
      </c>
      <c r="AB11">
        <v>0.875</v>
      </c>
      <c r="AC11">
        <v>0.5</v>
      </c>
      <c r="AD11">
        <v>57.142857142857139</v>
      </c>
      <c r="AE11">
        <v>21.75</v>
      </c>
      <c r="AF11">
        <v>2.125</v>
      </c>
      <c r="AG11">
        <v>9.7701149425287355</v>
      </c>
      <c r="AH11">
        <v>1.5</v>
      </c>
      <c r="AI11">
        <v>0.375</v>
      </c>
      <c r="AJ11">
        <v>25</v>
      </c>
      <c r="AK11">
        <v>1.875</v>
      </c>
      <c r="AL11">
        <v>0.625</v>
      </c>
      <c r="AM11">
        <v>33.333333333333329</v>
      </c>
      <c r="AN11">
        <v>0.125</v>
      </c>
      <c r="AO11">
        <v>0.125</v>
      </c>
      <c r="AP11">
        <v>100</v>
      </c>
      <c r="AQ11">
        <v>7.75</v>
      </c>
      <c r="AR11">
        <v>2.75</v>
      </c>
      <c r="AS11">
        <v>35.483870967741936</v>
      </c>
      <c r="AT11">
        <v>2.625</v>
      </c>
      <c r="AU11">
        <v>2.5</v>
      </c>
      <c r="AV11">
        <v>13.75</v>
      </c>
      <c r="AW11">
        <v>0.75</v>
      </c>
      <c r="AX11">
        <v>6</v>
      </c>
      <c r="AY11">
        <v>6.125</v>
      </c>
      <c r="AZ11">
        <v>41.875</v>
      </c>
      <c r="BA11">
        <v>14.25</v>
      </c>
      <c r="BB11">
        <v>34.029850746268657</v>
      </c>
      <c r="BC11">
        <v>1.875</v>
      </c>
      <c r="BD11">
        <v>56.75</v>
      </c>
      <c r="BE11">
        <v>35.75</v>
      </c>
      <c r="BF11">
        <v>62.995594713656388</v>
      </c>
      <c r="BG11">
        <v>30.375</v>
      </c>
      <c r="BH11">
        <v>12.375</v>
      </c>
      <c r="BI11">
        <v>40.74074074074074</v>
      </c>
      <c r="BJ11">
        <v>5.125</v>
      </c>
      <c r="BK11">
        <v>2.875</v>
      </c>
      <c r="BL11">
        <v>56.09756097560976</v>
      </c>
      <c r="BM11">
        <v>31</v>
      </c>
      <c r="BN11">
        <v>14.625</v>
      </c>
      <c r="BO11">
        <v>11.25</v>
      </c>
      <c r="BP11">
        <v>2.375</v>
      </c>
      <c r="BQ11">
        <v>0.375</v>
      </c>
      <c r="BR11">
        <v>113.25</v>
      </c>
      <c r="BS11">
        <v>80</v>
      </c>
      <c r="BT11">
        <v>70.640176600441507</v>
      </c>
      <c r="BU11">
        <v>47.75</v>
      </c>
      <c r="BV11">
        <v>44.5</v>
      </c>
      <c r="BW11">
        <v>93.193717277486911</v>
      </c>
      <c r="BX11">
        <v>119.125</v>
      </c>
      <c r="BY11">
        <v>107.5</v>
      </c>
      <c r="BZ11">
        <v>90.241343126967465</v>
      </c>
      <c r="CA11">
        <v>40.125</v>
      </c>
      <c r="CB11">
        <v>21.625</v>
      </c>
      <c r="CC11">
        <v>53.894080996884732</v>
      </c>
      <c r="CD11">
        <v>34.625</v>
      </c>
      <c r="CE11">
        <v>21.625</v>
      </c>
      <c r="CF11">
        <v>62.454873646209386</v>
      </c>
      <c r="CG11">
        <v>55.875</v>
      </c>
      <c r="CH11">
        <v>36.25</v>
      </c>
      <c r="CI11">
        <v>64.876957494407165</v>
      </c>
      <c r="CJ11">
        <v>0.125</v>
      </c>
      <c r="CK11">
        <v>0</v>
      </c>
      <c r="CL11">
        <v>0</v>
      </c>
      <c r="CM11">
        <v>15.75</v>
      </c>
      <c r="CN11">
        <v>11.125</v>
      </c>
      <c r="CO11">
        <v>70.634920634920633</v>
      </c>
      <c r="CP11">
        <v>9.75</v>
      </c>
      <c r="CQ11">
        <v>15.875</v>
      </c>
      <c r="CR11">
        <v>3.7850000000000001</v>
      </c>
      <c r="CS11">
        <v>12.4</v>
      </c>
      <c r="CT11">
        <v>22.843749999999996</v>
      </c>
      <c r="CU11">
        <v>19.94875</v>
      </c>
      <c r="CV11">
        <v>15.9125</v>
      </c>
      <c r="CW11" s="1">
        <v>2</v>
      </c>
      <c r="CX11" s="1">
        <v>1.5362499999999997</v>
      </c>
      <c r="CY11" s="1">
        <v>15.25</v>
      </c>
      <c r="CZ11" s="1">
        <v>5.625</v>
      </c>
      <c r="DA11" s="1">
        <v>36.885245901639344</v>
      </c>
      <c r="DB11" s="1">
        <v>470.25</v>
      </c>
      <c r="DC11" s="1">
        <v>411.5</v>
      </c>
      <c r="DD11" s="1">
        <v>87.506645401382244</v>
      </c>
      <c r="DE11" s="1">
        <v>58.518749999999997</v>
      </c>
      <c r="DF11" s="1">
        <v>86.25</v>
      </c>
      <c r="DG11" s="1">
        <v>8.875</v>
      </c>
      <c r="DH11" s="1">
        <v>31</v>
      </c>
      <c r="DI11" s="1">
        <v>46.375</v>
      </c>
      <c r="DJ11" s="1">
        <v>65.625</v>
      </c>
      <c r="DK11" s="1">
        <v>22.5</v>
      </c>
      <c r="DL11" s="1">
        <v>31.75</v>
      </c>
      <c r="DM11" s="1">
        <v>11.375</v>
      </c>
      <c r="DN11" s="1">
        <v>148</v>
      </c>
      <c r="DO11" s="1">
        <v>73.125</v>
      </c>
      <c r="DP11" s="1">
        <v>49.408783783783782</v>
      </c>
      <c r="DQ11" s="1">
        <v>7.25</v>
      </c>
      <c r="DR11" s="1">
        <v>1.875</v>
      </c>
      <c r="DS11" s="1">
        <v>25.862068965517242</v>
      </c>
      <c r="DT11" s="1">
        <v>33.5</v>
      </c>
      <c r="DU11" s="1">
        <v>9</v>
      </c>
      <c r="DV11" s="1">
        <v>26.865671641791046</v>
      </c>
      <c r="DW11" s="1">
        <v>0.5</v>
      </c>
      <c r="DX11" s="1">
        <v>0.375</v>
      </c>
      <c r="DY11" s="1">
        <v>75</v>
      </c>
      <c r="DZ11" s="1">
        <v>22.5</v>
      </c>
      <c r="EA11" s="1">
        <v>4.625</v>
      </c>
      <c r="EB11" s="1">
        <v>20.555555555555554</v>
      </c>
      <c r="EC11" s="1">
        <v>5</v>
      </c>
      <c r="ED11" s="1">
        <v>2.125</v>
      </c>
      <c r="EE11" s="1">
        <v>42.5</v>
      </c>
      <c r="EF11" s="1">
        <v>3.125</v>
      </c>
      <c r="EG11" s="1">
        <v>0.625</v>
      </c>
      <c r="EH11" s="1">
        <v>20</v>
      </c>
      <c r="EI11" s="1">
        <v>0.125</v>
      </c>
      <c r="EJ11" s="1">
        <v>0.125</v>
      </c>
      <c r="EK11" s="1">
        <v>100</v>
      </c>
      <c r="EL11" s="1">
        <v>16.25</v>
      </c>
      <c r="EM11" s="1">
        <v>5.25</v>
      </c>
      <c r="EN11" s="1">
        <v>32.307692307692307</v>
      </c>
      <c r="EO11" s="1">
        <v>4.5</v>
      </c>
      <c r="EP11" s="1">
        <v>9.875</v>
      </c>
      <c r="EQ11" s="1">
        <v>25.375</v>
      </c>
      <c r="ER11" s="1">
        <v>3.875</v>
      </c>
      <c r="ES11" s="1">
        <v>9.25</v>
      </c>
      <c r="ET11" s="1">
        <v>20.5</v>
      </c>
      <c r="EU11" s="1">
        <v>56.75</v>
      </c>
      <c r="EV11" s="1">
        <v>21</v>
      </c>
      <c r="EW11" s="1">
        <v>37.004405286343612</v>
      </c>
      <c r="EX11" s="1">
        <v>1.125</v>
      </c>
      <c r="EY11" s="1">
        <v>41.875</v>
      </c>
      <c r="EZ11" s="1">
        <v>27.625</v>
      </c>
      <c r="FA11" s="1">
        <v>65.97014925373135</v>
      </c>
      <c r="FB11" s="1">
        <v>30.375</v>
      </c>
      <c r="FC11" s="1">
        <v>15.375</v>
      </c>
      <c r="FD11" s="1">
        <v>50.617283950617285</v>
      </c>
      <c r="FE11" s="1">
        <v>2.625</v>
      </c>
      <c r="FF11" s="1">
        <v>1.625</v>
      </c>
      <c r="FG11" s="1">
        <v>61.904761904761905</v>
      </c>
      <c r="FH11" s="1">
        <v>28.375</v>
      </c>
      <c r="FI11" s="1">
        <v>9.625</v>
      </c>
      <c r="FJ11" s="1">
        <v>10.625</v>
      </c>
      <c r="FK11" s="1">
        <v>2.75</v>
      </c>
      <c r="FL11" s="1">
        <v>0.25</v>
      </c>
      <c r="FM11" s="1">
        <v>147.5</v>
      </c>
      <c r="FN11" s="1">
        <v>117.375</v>
      </c>
      <c r="FO11" s="1">
        <v>79.576271186440678</v>
      </c>
      <c r="FP11" s="1">
        <v>71.5</v>
      </c>
      <c r="FQ11" s="1">
        <v>67.75</v>
      </c>
      <c r="FR11" s="1">
        <v>94.75524475524476</v>
      </c>
      <c r="FS11" s="1">
        <v>181.5</v>
      </c>
      <c r="FT11" s="1">
        <v>166.125</v>
      </c>
      <c r="FU11" s="1">
        <v>91.528925619834709</v>
      </c>
      <c r="FV11" s="1">
        <v>41.375</v>
      </c>
      <c r="FW11" s="1">
        <v>26.375</v>
      </c>
      <c r="FX11" s="1">
        <v>63.746223564954683</v>
      </c>
      <c r="FY11" s="1">
        <v>61.625</v>
      </c>
      <c r="FZ11" s="1">
        <v>47.875</v>
      </c>
      <c r="GA11" s="1">
        <v>77.687626774847871</v>
      </c>
      <c r="GB11" s="1">
        <v>68.5</v>
      </c>
      <c r="GC11" s="1">
        <v>57.875</v>
      </c>
      <c r="GD11" s="1">
        <v>84.489051094890513</v>
      </c>
      <c r="GE11" s="1">
        <v>0.625</v>
      </c>
      <c r="GF11" s="1">
        <v>0.375</v>
      </c>
      <c r="GG11" s="1">
        <v>60</v>
      </c>
      <c r="GH11" s="1">
        <v>17</v>
      </c>
      <c r="GI11" s="1">
        <v>15.625</v>
      </c>
      <c r="GJ11" s="1">
        <v>91.911764705882348</v>
      </c>
      <c r="GK11" s="1">
        <v>4.875</v>
      </c>
      <c r="GL11" s="1">
        <v>16.166250000000002</v>
      </c>
      <c r="GM11" s="1">
        <v>4.9712500000000004</v>
      </c>
      <c r="GN11" s="1">
        <v>8.9262499999999996</v>
      </c>
      <c r="GO11" s="1">
        <v>19.681249999999999</v>
      </c>
      <c r="GP11" s="1">
        <v>19.261249999999997</v>
      </c>
      <c r="GQ11" s="1">
        <v>9.8562500000000011</v>
      </c>
      <c r="GR11">
        <f t="shared" si="2"/>
        <v>0.73750000000000016</v>
      </c>
      <c r="GS11">
        <f t="shared" si="3"/>
        <v>1.4412499999999997</v>
      </c>
      <c r="GT11">
        <f t="shared" si="4"/>
        <v>0.16749999999999987</v>
      </c>
      <c r="GU11">
        <f t="shared" si="5"/>
        <v>0.46375000000000033</v>
      </c>
      <c r="GV11">
        <f t="shared" si="6"/>
        <v>3.5</v>
      </c>
      <c r="GW11">
        <f t="shared" si="7"/>
        <v>8</v>
      </c>
      <c r="GX11" s="2">
        <f t="shared" si="8"/>
        <v>0.53623188405797106</v>
      </c>
      <c r="GY11" s="2">
        <f t="shared" si="9"/>
        <v>0.37888198757763975</v>
      </c>
      <c r="GZ11" s="2">
        <f t="shared" si="10"/>
        <v>8.4886128364389232E-2</v>
      </c>
      <c r="HA11">
        <f t="shared" si="11"/>
        <v>9.5142857142857154E-2</v>
      </c>
      <c r="HB11">
        <f t="shared" si="12"/>
        <v>0.10073770491803277</v>
      </c>
    </row>
    <row r="12" spans="1:210" x14ac:dyDescent="0.2">
      <c r="A12" t="s">
        <v>121</v>
      </c>
      <c r="B12">
        <v>1.1111111111111112</v>
      </c>
      <c r="C12">
        <v>1.3988888888888888</v>
      </c>
      <c r="D12">
        <v>14.111111111111111</v>
      </c>
      <c r="E12">
        <v>3.8888888888888888</v>
      </c>
      <c r="F12">
        <v>27.559055118110237</v>
      </c>
      <c r="G12">
        <v>432.88888888888891</v>
      </c>
      <c r="H12">
        <v>368.77777777777777</v>
      </c>
      <c r="I12">
        <v>85.189938398357285</v>
      </c>
      <c r="J12">
        <v>57.718888888888877</v>
      </c>
      <c r="K12">
        <v>96.444444444444443</v>
      </c>
      <c r="L12">
        <v>11</v>
      </c>
      <c r="M12">
        <v>29.777777777777779</v>
      </c>
      <c r="N12">
        <v>55.666666666666664</v>
      </c>
      <c r="O12">
        <v>70.666666666666671</v>
      </c>
      <c r="P12">
        <v>25.555555555555557</v>
      </c>
      <c r="Q12">
        <v>33.555555555555557</v>
      </c>
      <c r="R12">
        <v>11.555555555555555</v>
      </c>
      <c r="S12">
        <v>168.11111111111111</v>
      </c>
      <c r="T12">
        <v>76.777777777777771</v>
      </c>
      <c r="U12">
        <v>45.6708526107072</v>
      </c>
      <c r="V12">
        <v>6.8888888888888893</v>
      </c>
      <c r="W12">
        <v>1</v>
      </c>
      <c r="X12">
        <v>14.516129032258066</v>
      </c>
      <c r="Y12">
        <v>31</v>
      </c>
      <c r="Z12">
        <v>8.5555555555555554</v>
      </c>
      <c r="AA12">
        <v>27.598566308243726</v>
      </c>
      <c r="AB12">
        <v>1.1111111111111112</v>
      </c>
      <c r="AC12">
        <v>0.55555555555555558</v>
      </c>
      <c r="AD12">
        <v>50</v>
      </c>
      <c r="AE12">
        <v>23.555555555555557</v>
      </c>
      <c r="AF12">
        <v>3.8888888888888888</v>
      </c>
      <c r="AG12">
        <v>16.509433962264151</v>
      </c>
      <c r="AH12">
        <v>4.333333333333333</v>
      </c>
      <c r="AI12">
        <v>1.2222222222222223</v>
      </c>
      <c r="AJ12">
        <v>28.205128205128204</v>
      </c>
      <c r="AK12">
        <v>2.6666666666666665</v>
      </c>
      <c r="AL12">
        <v>0.66666666666666663</v>
      </c>
      <c r="AM12">
        <v>25</v>
      </c>
      <c r="AN12">
        <v>0.33333333333333331</v>
      </c>
      <c r="AO12">
        <v>0.22222222222222221</v>
      </c>
      <c r="AP12">
        <v>66.666666666666657</v>
      </c>
      <c r="AQ12">
        <v>16.777777777777779</v>
      </c>
      <c r="AR12">
        <v>5.4444444444444446</v>
      </c>
      <c r="AS12">
        <v>32.450331125827816</v>
      </c>
      <c r="AT12">
        <v>5.5555555555555554</v>
      </c>
      <c r="AU12">
        <v>8.7777777777777786</v>
      </c>
      <c r="AV12">
        <v>27.111111111111111</v>
      </c>
      <c r="AW12">
        <v>3.2222222222222223</v>
      </c>
      <c r="AX12">
        <v>10.444444444444445</v>
      </c>
      <c r="AY12">
        <v>17.666666666666668</v>
      </c>
      <c r="AZ12">
        <v>63.555555555555557</v>
      </c>
      <c r="BA12">
        <v>22.777777777777779</v>
      </c>
      <c r="BB12">
        <v>35.83916083916084</v>
      </c>
      <c r="BC12">
        <v>1.3333333333333333</v>
      </c>
      <c r="BD12">
        <v>50.888888888888886</v>
      </c>
      <c r="BE12">
        <v>31.111111111111111</v>
      </c>
      <c r="BF12">
        <v>61.135371179039296</v>
      </c>
      <c r="BG12">
        <v>30.222222222222221</v>
      </c>
      <c r="BH12">
        <v>12.777777777777779</v>
      </c>
      <c r="BI12">
        <v>42.279411764705884</v>
      </c>
      <c r="BJ12">
        <v>2.2222222222222223</v>
      </c>
      <c r="BK12">
        <v>1.5555555555555556</v>
      </c>
      <c r="BL12">
        <v>70</v>
      </c>
      <c r="BM12">
        <v>29.444444444444443</v>
      </c>
      <c r="BN12">
        <v>9.1111111111111107</v>
      </c>
      <c r="BO12">
        <v>10.777777777777779</v>
      </c>
      <c r="BP12">
        <v>2.5555555555555554</v>
      </c>
      <c r="BQ12">
        <v>0.1111111111111111</v>
      </c>
      <c r="BR12">
        <v>141.66666666666666</v>
      </c>
      <c r="BS12">
        <v>108.77777777777777</v>
      </c>
      <c r="BT12">
        <v>76.784313725490193</v>
      </c>
      <c r="BU12">
        <v>60.444444444444443</v>
      </c>
      <c r="BV12">
        <v>57.222222222222221</v>
      </c>
      <c r="BW12">
        <v>94.669117647058826</v>
      </c>
      <c r="BX12">
        <v>157.44444444444446</v>
      </c>
      <c r="BY12">
        <v>139.22222222222223</v>
      </c>
      <c r="BZ12">
        <v>88.426252646436126</v>
      </c>
      <c r="CA12">
        <v>38.777777777777779</v>
      </c>
      <c r="CB12">
        <v>24.222222222222221</v>
      </c>
      <c r="CC12">
        <v>62.464183381088823</v>
      </c>
      <c r="CD12">
        <v>61.777777777777779</v>
      </c>
      <c r="CE12">
        <v>46.111111111111114</v>
      </c>
      <c r="CF12">
        <v>74.64028776978418</v>
      </c>
      <c r="CG12">
        <v>71.888888888888886</v>
      </c>
      <c r="CH12">
        <v>58</v>
      </c>
      <c r="CI12">
        <v>80.680061823802163</v>
      </c>
      <c r="CJ12">
        <v>1.6666666666666667</v>
      </c>
      <c r="CK12">
        <v>0.55555555555555558</v>
      </c>
      <c r="CL12">
        <v>33.333333333333329</v>
      </c>
      <c r="CM12">
        <v>17.555555555555557</v>
      </c>
      <c r="CN12">
        <v>16.333333333333332</v>
      </c>
      <c r="CO12">
        <v>93.037974683544306</v>
      </c>
      <c r="CP12">
        <v>5.333333333333333</v>
      </c>
      <c r="CQ12">
        <v>15.628888888888888</v>
      </c>
      <c r="CR12">
        <v>4.4855555555555551</v>
      </c>
      <c r="CS12">
        <v>9.1288888888888877</v>
      </c>
      <c r="CT12">
        <v>20.357777777777777</v>
      </c>
      <c r="CU12">
        <v>18.824444444444442</v>
      </c>
      <c r="CV12">
        <v>9.9477777777777767</v>
      </c>
      <c r="CW12">
        <v>1.4444444444444444</v>
      </c>
      <c r="CX12">
        <v>1.3488888888888892</v>
      </c>
      <c r="CY12">
        <v>9.1111111111111107</v>
      </c>
      <c r="CZ12">
        <v>3.2222222222222223</v>
      </c>
      <c r="DA12">
        <v>35.365853658536587</v>
      </c>
      <c r="DB12">
        <v>326.88888888888891</v>
      </c>
      <c r="DC12">
        <v>267.88888888888891</v>
      </c>
      <c r="DD12">
        <v>81.951053704962604</v>
      </c>
      <c r="DE12">
        <v>42.281111111111116</v>
      </c>
      <c r="DF12">
        <v>92.777777777777771</v>
      </c>
      <c r="DG12">
        <v>21.777777777777779</v>
      </c>
      <c r="DH12">
        <v>38.666666666666664</v>
      </c>
      <c r="DI12">
        <v>32.333333333333336</v>
      </c>
      <c r="DJ12">
        <v>68.111111111111114</v>
      </c>
      <c r="DK12">
        <v>37.888888888888886</v>
      </c>
      <c r="DL12">
        <v>24.222222222222221</v>
      </c>
      <c r="DM12">
        <v>6</v>
      </c>
      <c r="DN12">
        <v>168.11111111111111</v>
      </c>
      <c r="DO12">
        <v>83.777777777777771</v>
      </c>
      <c r="DP12">
        <v>49.834765366820889</v>
      </c>
      <c r="DQ12">
        <v>4</v>
      </c>
      <c r="DR12">
        <v>0.66666666666666663</v>
      </c>
      <c r="DS12">
        <v>16.666666666666664</v>
      </c>
      <c r="DT12">
        <v>19.222222222222221</v>
      </c>
      <c r="DU12">
        <v>5.7777777777777777</v>
      </c>
      <c r="DV12">
        <v>30.057803468208093</v>
      </c>
      <c r="DW12">
        <v>1</v>
      </c>
      <c r="DX12">
        <v>0.44444444444444442</v>
      </c>
      <c r="DY12">
        <v>44.444444444444443</v>
      </c>
      <c r="DZ12">
        <v>22.333333333333332</v>
      </c>
      <c r="EA12">
        <v>2.3333333333333335</v>
      </c>
      <c r="EB12">
        <v>10.44776119402985</v>
      </c>
      <c r="EC12">
        <v>3.1111111111111112</v>
      </c>
      <c r="ED12">
        <v>1</v>
      </c>
      <c r="EE12">
        <v>32.142857142857146</v>
      </c>
      <c r="EF12">
        <v>1.6666666666666667</v>
      </c>
      <c r="EG12">
        <v>0.1111111111111111</v>
      </c>
      <c r="EH12">
        <v>6.666666666666667</v>
      </c>
      <c r="EI12">
        <v>0.44444444444444442</v>
      </c>
      <c r="EJ12">
        <v>0.22222222222222221</v>
      </c>
      <c r="EK12">
        <v>50</v>
      </c>
      <c r="EL12">
        <v>9</v>
      </c>
      <c r="EM12">
        <v>3</v>
      </c>
      <c r="EN12">
        <v>33.333333333333329</v>
      </c>
      <c r="EO12">
        <v>2.7777777777777777</v>
      </c>
      <c r="EP12">
        <v>4.8888888888888893</v>
      </c>
      <c r="EQ12">
        <v>14.555555555555555</v>
      </c>
      <c r="ER12">
        <v>2.2222222222222223</v>
      </c>
      <c r="ES12">
        <v>5</v>
      </c>
      <c r="ET12">
        <v>10.777777777777779</v>
      </c>
      <c r="EU12">
        <v>50.888888888888886</v>
      </c>
      <c r="EV12">
        <v>19.777777777777779</v>
      </c>
      <c r="EW12">
        <v>38.864628820960704</v>
      </c>
      <c r="EX12">
        <v>2.8888888888888888</v>
      </c>
      <c r="EY12">
        <v>63.555555555555557</v>
      </c>
      <c r="EZ12">
        <v>40.777777777777779</v>
      </c>
      <c r="FA12">
        <v>64.16083916083916</v>
      </c>
      <c r="FB12">
        <v>30.222222222222221</v>
      </c>
      <c r="FC12">
        <v>13.666666666666666</v>
      </c>
      <c r="FD12">
        <v>45.220588235294116</v>
      </c>
      <c r="FE12">
        <v>3.4444444444444446</v>
      </c>
      <c r="FF12">
        <v>1.7777777777777777</v>
      </c>
      <c r="FG12">
        <v>51.612903225806448</v>
      </c>
      <c r="FH12">
        <v>37.333333333333336</v>
      </c>
      <c r="FI12">
        <v>18.666666666666668</v>
      </c>
      <c r="FJ12">
        <v>12.111111111111111</v>
      </c>
      <c r="FK12">
        <v>2.3333333333333335</v>
      </c>
      <c r="FL12">
        <v>0.22222222222222221</v>
      </c>
      <c r="FM12">
        <v>114.66666666666667</v>
      </c>
      <c r="FN12">
        <v>81.888888888888886</v>
      </c>
      <c r="FO12">
        <v>71.414728682170548</v>
      </c>
      <c r="FP12">
        <v>52</v>
      </c>
      <c r="FQ12">
        <v>47.666666666666664</v>
      </c>
      <c r="FR12">
        <v>91.666666666666657</v>
      </c>
      <c r="FS12">
        <v>110.77777777777777</v>
      </c>
      <c r="FT12">
        <v>98</v>
      </c>
      <c r="FU12">
        <v>88.465396188565691</v>
      </c>
      <c r="FV12">
        <v>40.666666666666664</v>
      </c>
      <c r="FW12">
        <v>21.888888888888889</v>
      </c>
      <c r="FX12">
        <v>53.825136612021865</v>
      </c>
      <c r="FY12">
        <v>38.444444444444443</v>
      </c>
      <c r="FZ12">
        <v>25.888888888888889</v>
      </c>
      <c r="GA12">
        <v>67.341040462427742</v>
      </c>
      <c r="GB12">
        <v>58.666666666666664</v>
      </c>
      <c r="GC12">
        <v>39.666666666666664</v>
      </c>
      <c r="GD12">
        <v>67.61363636363636</v>
      </c>
      <c r="GE12">
        <v>0.55555555555555558</v>
      </c>
      <c r="GF12">
        <v>0.33333333333333331</v>
      </c>
      <c r="GG12">
        <v>60</v>
      </c>
      <c r="GH12">
        <v>14.222222222222221</v>
      </c>
      <c r="GI12">
        <v>11.333333333333334</v>
      </c>
      <c r="GJ12">
        <v>79.6875</v>
      </c>
      <c r="GK12">
        <v>9.6666666666666661</v>
      </c>
      <c r="GL12">
        <v>16.322222222222219</v>
      </c>
      <c r="GM12">
        <v>3.5988888888888888</v>
      </c>
      <c r="GN12">
        <v>12.756666666666668</v>
      </c>
      <c r="GO12">
        <v>18.697777777777777</v>
      </c>
      <c r="GP12">
        <v>20.067777777777778</v>
      </c>
      <c r="GQ12">
        <v>13.847777777777777</v>
      </c>
      <c r="GR12">
        <f t="shared" si="2"/>
        <v>1.1455555555555557</v>
      </c>
      <c r="GS12">
        <f t="shared" si="3"/>
        <v>1.0111111111111115</v>
      </c>
      <c r="GT12">
        <f t="shared" si="4"/>
        <v>-0.28777777777777769</v>
      </c>
      <c r="GU12">
        <f t="shared" si="5"/>
        <v>9.5555555555555172E-2</v>
      </c>
      <c r="GV12">
        <f t="shared" si="6"/>
        <v>7.2222222222222214</v>
      </c>
      <c r="GW12">
        <f t="shared" si="7"/>
        <v>5.1111111111111107</v>
      </c>
      <c r="GX12" s="2">
        <f t="shared" si="8"/>
        <v>0.36163522012578614</v>
      </c>
      <c r="GY12" s="2">
        <f t="shared" si="9"/>
        <v>0.47484276729559749</v>
      </c>
      <c r="GZ12" s="2">
        <f t="shared" si="10"/>
        <v>0.16352201257861634</v>
      </c>
      <c r="HA12">
        <f t="shared" si="11"/>
        <v>9.9133858267716535E-2</v>
      </c>
      <c r="HB12">
        <f t="shared" si="12"/>
        <v>0.14804878048780493</v>
      </c>
    </row>
    <row r="13" spans="1:210" x14ac:dyDescent="0.2">
      <c r="A13" t="s">
        <v>122</v>
      </c>
      <c r="B13">
        <v>1.5555555555555556</v>
      </c>
      <c r="C13">
        <v>0.93000000000000016</v>
      </c>
      <c r="D13">
        <v>11.555555555555555</v>
      </c>
      <c r="E13">
        <v>4.666666666666667</v>
      </c>
      <c r="F13">
        <v>40.384615384615387</v>
      </c>
      <c r="G13">
        <v>344.11111111111109</v>
      </c>
      <c r="H13">
        <v>284.66666666666669</v>
      </c>
      <c r="I13">
        <v>82.725217952857605</v>
      </c>
      <c r="J13">
        <v>45.917777777777786</v>
      </c>
      <c r="K13">
        <v>96</v>
      </c>
      <c r="L13">
        <v>17.222222222222221</v>
      </c>
      <c r="M13">
        <v>38.666666666666664</v>
      </c>
      <c r="N13">
        <v>40.111111111111114</v>
      </c>
      <c r="O13">
        <v>70.777777777777771</v>
      </c>
      <c r="P13">
        <v>34.666666666666664</v>
      </c>
      <c r="Q13">
        <v>29</v>
      </c>
      <c r="R13">
        <v>7.1111111111111107</v>
      </c>
      <c r="S13">
        <v>170.55555555555554</v>
      </c>
      <c r="T13">
        <v>78.444444444444443</v>
      </c>
      <c r="U13">
        <v>45.993485342019547</v>
      </c>
      <c r="V13">
        <v>7.1111111111111107</v>
      </c>
      <c r="W13">
        <v>2.4444444444444446</v>
      </c>
      <c r="X13">
        <v>34.375</v>
      </c>
      <c r="Y13">
        <v>24.555555555555557</v>
      </c>
      <c r="Z13">
        <v>7.333333333333333</v>
      </c>
      <c r="AA13">
        <v>29.864253393665159</v>
      </c>
      <c r="AB13">
        <v>0.88888888888888884</v>
      </c>
      <c r="AC13">
        <v>0.77777777777777779</v>
      </c>
      <c r="AD13">
        <v>87.5</v>
      </c>
      <c r="AE13">
        <v>24.444444444444443</v>
      </c>
      <c r="AF13">
        <v>2.8888888888888888</v>
      </c>
      <c r="AG13">
        <v>11.818181818181818</v>
      </c>
      <c r="AH13">
        <v>4.4444444444444446</v>
      </c>
      <c r="AI13">
        <v>1.1111111111111112</v>
      </c>
      <c r="AJ13">
        <v>25</v>
      </c>
      <c r="AK13">
        <v>2.1111111111111112</v>
      </c>
      <c r="AL13">
        <v>0.55555555555555558</v>
      </c>
      <c r="AM13">
        <v>26.315789473684209</v>
      </c>
      <c r="AN13">
        <v>0</v>
      </c>
      <c r="AO13">
        <v>0</v>
      </c>
      <c r="AP13">
        <v>0</v>
      </c>
      <c r="AQ13">
        <v>12.666666666666666</v>
      </c>
      <c r="AR13">
        <v>3.5555555555555554</v>
      </c>
      <c r="AS13">
        <v>28.07017543859649</v>
      </c>
      <c r="AT13">
        <v>4.2222222222222223</v>
      </c>
      <c r="AU13">
        <v>4.333333333333333</v>
      </c>
      <c r="AV13">
        <v>17.333333333333332</v>
      </c>
      <c r="AW13">
        <v>2.4444444444444446</v>
      </c>
      <c r="AX13">
        <v>8</v>
      </c>
      <c r="AY13">
        <v>11.222222222222221</v>
      </c>
      <c r="AZ13">
        <v>62.333333333333336</v>
      </c>
      <c r="BA13">
        <v>23.444444444444443</v>
      </c>
      <c r="BB13">
        <v>37.611408199643492</v>
      </c>
      <c r="BC13">
        <v>0.88888888888888884</v>
      </c>
      <c r="BD13">
        <v>56.888888888888886</v>
      </c>
      <c r="BE13">
        <v>33</v>
      </c>
      <c r="BF13">
        <v>58.0078125</v>
      </c>
      <c r="BG13">
        <v>32</v>
      </c>
      <c r="BH13">
        <v>14.333333333333334</v>
      </c>
      <c r="BI13">
        <v>44.791666666666671</v>
      </c>
      <c r="BJ13">
        <v>3.6666666666666665</v>
      </c>
      <c r="BK13">
        <v>1.6666666666666667</v>
      </c>
      <c r="BL13">
        <v>45.454545454545453</v>
      </c>
      <c r="BM13">
        <v>35.333333333333336</v>
      </c>
      <c r="BN13">
        <v>16.333333333333332</v>
      </c>
      <c r="BO13">
        <v>13.555555555555555</v>
      </c>
      <c r="BP13">
        <v>3.4444444444444446</v>
      </c>
      <c r="BQ13">
        <v>0</v>
      </c>
      <c r="BR13">
        <v>125.11111111111111</v>
      </c>
      <c r="BS13">
        <v>93.222222222222229</v>
      </c>
      <c r="BT13">
        <v>74.511545293072828</v>
      </c>
      <c r="BU13">
        <v>44.777777777777779</v>
      </c>
      <c r="BV13">
        <v>41.666666666666664</v>
      </c>
      <c r="BW13">
        <v>93.052109181141446</v>
      </c>
      <c r="BX13">
        <v>120.88888888888889</v>
      </c>
      <c r="BY13">
        <v>106.11111111111111</v>
      </c>
      <c r="BZ13">
        <v>87.775735294117652</v>
      </c>
      <c r="CA13">
        <v>36.888888888888886</v>
      </c>
      <c r="CB13">
        <v>20.333333333333332</v>
      </c>
      <c r="CC13">
        <v>55.120481927710841</v>
      </c>
      <c r="CD13">
        <v>44.222222222222221</v>
      </c>
      <c r="CE13">
        <v>31.444444444444443</v>
      </c>
      <c r="CF13">
        <v>71.105527638190964</v>
      </c>
      <c r="CG13">
        <v>63</v>
      </c>
      <c r="CH13">
        <v>45.888888888888886</v>
      </c>
      <c r="CI13">
        <v>72.839506172839506</v>
      </c>
      <c r="CJ13">
        <v>0.66666666666666663</v>
      </c>
      <c r="CK13">
        <v>0.44444444444444442</v>
      </c>
      <c r="CL13">
        <v>66.666666666666657</v>
      </c>
      <c r="CM13">
        <v>16.888888888888889</v>
      </c>
      <c r="CN13">
        <v>15.444444444444445</v>
      </c>
      <c r="CO13">
        <v>91.44736842105263</v>
      </c>
      <c r="CP13">
        <v>7.666666666666667</v>
      </c>
      <c r="CQ13">
        <v>15.476666666666667</v>
      </c>
      <c r="CR13">
        <v>3.5822222222222226</v>
      </c>
      <c r="CS13">
        <v>11.565555555555555</v>
      </c>
      <c r="CT13">
        <v>22.319999999999997</v>
      </c>
      <c r="CU13">
        <v>19.690000000000001</v>
      </c>
      <c r="CV13">
        <v>13.836666666666666</v>
      </c>
      <c r="CW13">
        <v>1.3333333333333333</v>
      </c>
      <c r="CX13">
        <v>1.2833333333333334</v>
      </c>
      <c r="CY13">
        <v>11.444444444444445</v>
      </c>
      <c r="CZ13">
        <v>4.2222222222222223</v>
      </c>
      <c r="DA13">
        <v>36.893203883495147</v>
      </c>
      <c r="DB13">
        <v>406.22222222222223</v>
      </c>
      <c r="DC13">
        <v>344.33333333333331</v>
      </c>
      <c r="DD13">
        <v>84.764770240700216</v>
      </c>
      <c r="DE13">
        <v>54.082222222222214</v>
      </c>
      <c r="DF13">
        <v>96.666666666666671</v>
      </c>
      <c r="DG13">
        <v>12.444444444444445</v>
      </c>
      <c r="DH13">
        <v>35.888888888888886</v>
      </c>
      <c r="DI13">
        <v>48.333333333333336</v>
      </c>
      <c r="DJ13">
        <v>70.777777777777771</v>
      </c>
      <c r="DK13">
        <v>31.222222222222221</v>
      </c>
      <c r="DL13">
        <v>31.333333333333332</v>
      </c>
      <c r="DM13">
        <v>8.2222222222222214</v>
      </c>
      <c r="DN13">
        <v>170.55555555555554</v>
      </c>
      <c r="DO13">
        <v>84.777777777777771</v>
      </c>
      <c r="DP13">
        <v>49.706840390879478</v>
      </c>
      <c r="DQ13">
        <v>6.333333333333333</v>
      </c>
      <c r="DR13">
        <v>1.5555555555555556</v>
      </c>
      <c r="DS13">
        <v>24.561403508771928</v>
      </c>
      <c r="DT13">
        <v>26.222222222222221</v>
      </c>
      <c r="DU13">
        <v>7.1111111111111107</v>
      </c>
      <c r="DV13">
        <v>27.118644067796609</v>
      </c>
      <c r="DW13">
        <v>0</v>
      </c>
      <c r="DX13">
        <v>0</v>
      </c>
      <c r="DY13">
        <v>0</v>
      </c>
      <c r="DZ13">
        <v>27.111111111111111</v>
      </c>
      <c r="EA13">
        <v>3.3333333333333335</v>
      </c>
      <c r="EB13">
        <v>12.295081967213115</v>
      </c>
      <c r="EC13">
        <v>4.333333333333333</v>
      </c>
      <c r="ED13">
        <v>1.5555555555555556</v>
      </c>
      <c r="EE13">
        <v>35.897435897435898</v>
      </c>
      <c r="EF13">
        <v>3.1111111111111112</v>
      </c>
      <c r="EG13">
        <v>0.44444444444444442</v>
      </c>
      <c r="EH13">
        <v>14.285714285714285</v>
      </c>
      <c r="EI13">
        <v>0.22222222222222221</v>
      </c>
      <c r="EJ13">
        <v>0.22222222222222221</v>
      </c>
      <c r="EK13">
        <v>100</v>
      </c>
      <c r="EL13">
        <v>11.444444444444445</v>
      </c>
      <c r="EM13">
        <v>4.7777777777777777</v>
      </c>
      <c r="EN13">
        <v>41.747572815533978</v>
      </c>
      <c r="EO13">
        <v>4.7777777777777777</v>
      </c>
      <c r="EP13">
        <v>8.1111111111111107</v>
      </c>
      <c r="EQ13">
        <v>21.222222222222221</v>
      </c>
      <c r="ER13">
        <v>2.8888888888888888</v>
      </c>
      <c r="ES13">
        <v>6.4444444444444446</v>
      </c>
      <c r="ET13">
        <v>13</v>
      </c>
      <c r="EU13">
        <v>56.888888888888886</v>
      </c>
      <c r="EV13">
        <v>23.888888888888889</v>
      </c>
      <c r="EW13">
        <v>41.9921875</v>
      </c>
      <c r="EX13">
        <v>2.1111111111111112</v>
      </c>
      <c r="EY13">
        <v>62.333333333333336</v>
      </c>
      <c r="EZ13">
        <v>38.888888888888886</v>
      </c>
      <c r="FA13">
        <v>62.388591800356508</v>
      </c>
      <c r="FB13">
        <v>32</v>
      </c>
      <c r="FC13">
        <v>14.333333333333334</v>
      </c>
      <c r="FD13">
        <v>44.791666666666671</v>
      </c>
      <c r="FE13">
        <v>2.4444444444444446</v>
      </c>
      <c r="FF13">
        <v>1.2222222222222223</v>
      </c>
      <c r="FG13">
        <v>50</v>
      </c>
      <c r="FH13">
        <v>30.666666666666668</v>
      </c>
      <c r="FI13">
        <v>12</v>
      </c>
      <c r="FJ13">
        <v>11.777777777777779</v>
      </c>
      <c r="FK13">
        <v>2</v>
      </c>
      <c r="FL13">
        <v>0.22222222222222221</v>
      </c>
      <c r="FM13">
        <v>141.33333333333334</v>
      </c>
      <c r="FN13">
        <v>106.55555555555556</v>
      </c>
      <c r="FO13">
        <v>75.393081761006286</v>
      </c>
      <c r="FP13">
        <v>54.777777777777779</v>
      </c>
      <c r="FQ13">
        <v>51.444444444444443</v>
      </c>
      <c r="FR13">
        <v>93.914807302231239</v>
      </c>
      <c r="FS13">
        <v>153.11111111111111</v>
      </c>
      <c r="FT13">
        <v>139.33333333333334</v>
      </c>
      <c r="FU13">
        <v>91.001451378809875</v>
      </c>
      <c r="FV13">
        <v>47.111111111111114</v>
      </c>
      <c r="FW13">
        <v>26.666666666666668</v>
      </c>
      <c r="FX13">
        <v>56.60377358490566</v>
      </c>
      <c r="FY13">
        <v>53</v>
      </c>
      <c r="FZ13">
        <v>36.222222222222221</v>
      </c>
      <c r="GA13">
        <v>68.343815513626836</v>
      </c>
      <c r="GB13">
        <v>68.666666666666671</v>
      </c>
      <c r="GC13">
        <v>54.222222222222221</v>
      </c>
      <c r="GD13">
        <v>78.964401294498373</v>
      </c>
      <c r="GE13">
        <v>0.77777777777777779</v>
      </c>
      <c r="GF13">
        <v>0.44444444444444442</v>
      </c>
      <c r="GG13">
        <v>57.142857142857139</v>
      </c>
      <c r="GH13">
        <v>16.111111111111111</v>
      </c>
      <c r="GI13">
        <v>14.555555555555555</v>
      </c>
      <c r="GJ13">
        <v>90.344827586206904</v>
      </c>
      <c r="GK13">
        <v>9.1111111111111107</v>
      </c>
      <c r="GL13">
        <v>15.703333333333331</v>
      </c>
      <c r="GM13">
        <v>4.2288888888888891</v>
      </c>
      <c r="GN13">
        <v>12.02</v>
      </c>
      <c r="GO13">
        <v>20.036666666666665</v>
      </c>
      <c r="GP13">
        <v>19.932222222222222</v>
      </c>
      <c r="GQ13">
        <v>10.809999999999999</v>
      </c>
      <c r="GR13">
        <f t="shared" si="2"/>
        <v>0.93000000000000016</v>
      </c>
      <c r="GS13">
        <f t="shared" si="3"/>
        <v>1.1144444444444446</v>
      </c>
      <c r="GT13">
        <f t="shared" si="4"/>
        <v>0.62555555555555542</v>
      </c>
      <c r="GU13">
        <f t="shared" si="5"/>
        <v>4.9999999999999822E-2</v>
      </c>
      <c r="GV13">
        <f t="shared" si="6"/>
        <v>4.4444444444444446</v>
      </c>
      <c r="GW13">
        <f t="shared" si="7"/>
        <v>5.1111111111111116</v>
      </c>
      <c r="GX13" s="2">
        <f t="shared" si="8"/>
        <v>0.48979591836734693</v>
      </c>
      <c r="GY13" s="2">
        <f t="shared" si="9"/>
        <v>0.40973312401883832</v>
      </c>
      <c r="GZ13" s="2">
        <f t="shared" si="10"/>
        <v>0.10047095761381476</v>
      </c>
      <c r="HA13">
        <f t="shared" si="11"/>
        <v>8.0480769230769245E-2</v>
      </c>
      <c r="HB13">
        <f t="shared" si="12"/>
        <v>0.1121359223300971</v>
      </c>
    </row>
    <row r="14" spans="1:210" x14ac:dyDescent="0.2">
      <c r="A14" t="s">
        <v>123</v>
      </c>
      <c r="B14">
        <v>1</v>
      </c>
      <c r="C14">
        <v>0.88125000000000009</v>
      </c>
      <c r="D14">
        <v>7.5</v>
      </c>
      <c r="E14">
        <v>2.75</v>
      </c>
      <c r="F14">
        <v>36.666666666666664</v>
      </c>
      <c r="G14">
        <v>351.5</v>
      </c>
      <c r="H14">
        <v>291</v>
      </c>
      <c r="I14">
        <v>82.788051209103841</v>
      </c>
      <c r="J14">
        <v>47.52375</v>
      </c>
      <c r="K14">
        <v>98.5</v>
      </c>
      <c r="L14">
        <v>23</v>
      </c>
      <c r="M14">
        <v>34.75</v>
      </c>
      <c r="N14">
        <v>40.75</v>
      </c>
      <c r="O14">
        <v>67.875</v>
      </c>
      <c r="P14">
        <v>36</v>
      </c>
      <c r="Q14">
        <v>24.375</v>
      </c>
      <c r="R14">
        <v>7.5</v>
      </c>
      <c r="S14">
        <v>172.25</v>
      </c>
      <c r="T14">
        <v>85.125</v>
      </c>
      <c r="U14">
        <v>49.419448476052253</v>
      </c>
      <c r="V14">
        <v>3.75</v>
      </c>
      <c r="W14">
        <v>0.875</v>
      </c>
      <c r="X14">
        <v>23.333333333333332</v>
      </c>
      <c r="Y14">
        <v>18.5</v>
      </c>
      <c r="Z14">
        <v>4.375</v>
      </c>
      <c r="AA14">
        <v>23.648648648648649</v>
      </c>
      <c r="AB14">
        <v>0.625</v>
      </c>
      <c r="AC14">
        <v>0.125</v>
      </c>
      <c r="AD14">
        <v>20</v>
      </c>
      <c r="AE14">
        <v>27.25</v>
      </c>
      <c r="AF14">
        <v>2.375</v>
      </c>
      <c r="AG14">
        <v>8.7155963302752291</v>
      </c>
      <c r="AH14">
        <v>4</v>
      </c>
      <c r="AI14">
        <v>1</v>
      </c>
      <c r="AJ14">
        <v>25</v>
      </c>
      <c r="AK14">
        <v>3.375</v>
      </c>
      <c r="AL14">
        <v>1</v>
      </c>
      <c r="AM14">
        <v>29.629629629629626</v>
      </c>
      <c r="AN14">
        <v>0.125</v>
      </c>
      <c r="AO14">
        <v>0</v>
      </c>
      <c r="AP14">
        <v>0</v>
      </c>
      <c r="AQ14">
        <v>11.375</v>
      </c>
      <c r="AR14">
        <v>3.25</v>
      </c>
      <c r="AS14">
        <v>28.571428571428569</v>
      </c>
      <c r="AT14">
        <v>3.375</v>
      </c>
      <c r="AU14">
        <v>3.25</v>
      </c>
      <c r="AV14">
        <v>15.25</v>
      </c>
      <c r="AW14">
        <v>1.75</v>
      </c>
      <c r="AX14">
        <v>7.375</v>
      </c>
      <c r="AY14">
        <v>7.875</v>
      </c>
      <c r="AZ14">
        <v>60.625</v>
      </c>
      <c r="BA14">
        <v>24.125</v>
      </c>
      <c r="BB14">
        <v>39.793814432989691</v>
      </c>
      <c r="BC14">
        <v>2.75</v>
      </c>
      <c r="BD14">
        <v>60.25</v>
      </c>
      <c r="BE14">
        <v>37.375</v>
      </c>
      <c r="BF14">
        <v>62.033195020746888</v>
      </c>
      <c r="BG14">
        <v>33.625</v>
      </c>
      <c r="BH14">
        <v>15.75</v>
      </c>
      <c r="BI14">
        <v>46.840148698884761</v>
      </c>
      <c r="BJ14">
        <v>2.125</v>
      </c>
      <c r="BK14">
        <v>1.125</v>
      </c>
      <c r="BL14">
        <v>52.941176470588239</v>
      </c>
      <c r="BM14">
        <v>38</v>
      </c>
      <c r="BN14">
        <v>14.375</v>
      </c>
      <c r="BO14">
        <v>10.625</v>
      </c>
      <c r="BP14">
        <v>3.875</v>
      </c>
      <c r="BQ14">
        <v>0.25</v>
      </c>
      <c r="BR14">
        <v>124.125</v>
      </c>
      <c r="BS14">
        <v>90.5</v>
      </c>
      <c r="BT14">
        <v>72.910372608257802</v>
      </c>
      <c r="BU14">
        <v>60.5</v>
      </c>
      <c r="BV14">
        <v>57.875</v>
      </c>
      <c r="BW14">
        <v>95.661157024793383</v>
      </c>
      <c r="BX14">
        <v>116</v>
      </c>
      <c r="BY14">
        <v>100.75</v>
      </c>
      <c r="BZ14">
        <v>86.853448275862064</v>
      </c>
      <c r="CA14">
        <v>49.25</v>
      </c>
      <c r="CB14">
        <v>26.625</v>
      </c>
      <c r="CC14">
        <v>54.060913705583758</v>
      </c>
      <c r="CD14">
        <v>40.875</v>
      </c>
      <c r="CE14">
        <v>26.875</v>
      </c>
      <c r="CF14">
        <v>65.749235474006113</v>
      </c>
      <c r="CG14">
        <v>59.875</v>
      </c>
      <c r="CH14">
        <v>40.625</v>
      </c>
      <c r="CI14">
        <v>67.849686847599173</v>
      </c>
      <c r="CJ14">
        <v>0.625</v>
      </c>
      <c r="CK14">
        <v>0.5</v>
      </c>
      <c r="CL14">
        <v>80</v>
      </c>
      <c r="CM14">
        <v>13</v>
      </c>
      <c r="CN14">
        <v>11</v>
      </c>
      <c r="CO14">
        <v>84.615384615384613</v>
      </c>
      <c r="CP14">
        <v>7.875</v>
      </c>
      <c r="CQ14">
        <v>15.248749999999999</v>
      </c>
      <c r="CR14">
        <v>3.7549999999999999</v>
      </c>
      <c r="CS14">
        <v>14.596249999999998</v>
      </c>
      <c r="CT14">
        <v>20.655000000000001</v>
      </c>
      <c r="CU14">
        <v>20.111250000000002</v>
      </c>
      <c r="CV14">
        <v>14.0725</v>
      </c>
      <c r="CW14">
        <v>1.875</v>
      </c>
      <c r="CX14">
        <v>1.7137499999999999</v>
      </c>
      <c r="CY14">
        <v>14.625</v>
      </c>
      <c r="CZ14">
        <v>5.5</v>
      </c>
      <c r="DA14">
        <v>37.606837606837608</v>
      </c>
      <c r="DB14">
        <v>422.875</v>
      </c>
      <c r="DC14">
        <v>361.125</v>
      </c>
      <c r="DD14">
        <v>85.397576115873491</v>
      </c>
      <c r="DE14">
        <v>52.47625</v>
      </c>
      <c r="DF14">
        <v>92.25</v>
      </c>
      <c r="DG14">
        <v>13.125</v>
      </c>
      <c r="DH14">
        <v>30</v>
      </c>
      <c r="DI14">
        <v>49.125</v>
      </c>
      <c r="DJ14">
        <v>73.125</v>
      </c>
      <c r="DK14">
        <v>28.125</v>
      </c>
      <c r="DL14">
        <v>31.25</v>
      </c>
      <c r="DM14">
        <v>13.75</v>
      </c>
      <c r="DN14">
        <v>172.25</v>
      </c>
      <c r="DO14">
        <v>81.25</v>
      </c>
      <c r="DP14">
        <v>47.169811320754718</v>
      </c>
      <c r="DQ14">
        <v>7.375</v>
      </c>
      <c r="DR14">
        <v>2.25</v>
      </c>
      <c r="DS14">
        <v>30.508474576271187</v>
      </c>
      <c r="DT14">
        <v>33</v>
      </c>
      <c r="DU14">
        <v>10</v>
      </c>
      <c r="DV14">
        <v>30.303030303030305</v>
      </c>
      <c r="DW14">
        <v>0.375</v>
      </c>
      <c r="DX14">
        <v>0.25</v>
      </c>
      <c r="DY14">
        <v>66.666666666666657</v>
      </c>
      <c r="DZ14">
        <v>23.375</v>
      </c>
      <c r="EA14">
        <v>3</v>
      </c>
      <c r="EB14">
        <v>12.834224598930483</v>
      </c>
      <c r="EC14">
        <v>5</v>
      </c>
      <c r="ED14">
        <v>1.625</v>
      </c>
      <c r="EE14">
        <v>32.5</v>
      </c>
      <c r="EF14">
        <v>3.5</v>
      </c>
      <c r="EG14">
        <v>0.375</v>
      </c>
      <c r="EH14">
        <v>10.714285714285714</v>
      </c>
      <c r="EI14">
        <v>0.125</v>
      </c>
      <c r="EJ14">
        <v>0.125</v>
      </c>
      <c r="EK14">
        <v>100</v>
      </c>
      <c r="EL14">
        <v>15</v>
      </c>
      <c r="EM14">
        <v>5.875</v>
      </c>
      <c r="EN14">
        <v>39.166666666666664</v>
      </c>
      <c r="EO14">
        <v>5.625</v>
      </c>
      <c r="EP14">
        <v>10.125</v>
      </c>
      <c r="EQ14">
        <v>26.125</v>
      </c>
      <c r="ER14">
        <v>3.5</v>
      </c>
      <c r="ES14">
        <v>9.25</v>
      </c>
      <c r="ET14">
        <v>19.625</v>
      </c>
      <c r="EU14">
        <v>60.25</v>
      </c>
      <c r="EV14">
        <v>22.875</v>
      </c>
      <c r="EW14">
        <v>37.966804979253112</v>
      </c>
      <c r="EX14">
        <v>1.25</v>
      </c>
      <c r="EY14">
        <v>60.625</v>
      </c>
      <c r="EZ14">
        <v>36.5</v>
      </c>
      <c r="FA14">
        <v>60.206185567010309</v>
      </c>
      <c r="FB14">
        <v>33.625</v>
      </c>
      <c r="FC14">
        <v>14.5</v>
      </c>
      <c r="FD14">
        <v>43.122676579925653</v>
      </c>
      <c r="FE14">
        <v>3</v>
      </c>
      <c r="FF14">
        <v>1.125</v>
      </c>
      <c r="FG14">
        <v>37.5</v>
      </c>
      <c r="FH14">
        <v>28.75</v>
      </c>
      <c r="FI14">
        <v>11.375</v>
      </c>
      <c r="FJ14">
        <v>15.25</v>
      </c>
      <c r="FK14">
        <v>2.875</v>
      </c>
      <c r="FL14">
        <v>0.125</v>
      </c>
      <c r="FM14">
        <v>142.75</v>
      </c>
      <c r="FN14">
        <v>112.75</v>
      </c>
      <c r="FO14">
        <v>78.984238178633987</v>
      </c>
      <c r="FP14">
        <v>54.125</v>
      </c>
      <c r="FQ14">
        <v>50.375</v>
      </c>
      <c r="FR14">
        <v>93.071593533487302</v>
      </c>
      <c r="FS14">
        <v>151.375</v>
      </c>
      <c r="FT14">
        <v>135.5</v>
      </c>
      <c r="FU14">
        <v>89.512799339388934</v>
      </c>
      <c r="FV14">
        <v>35.125</v>
      </c>
      <c r="FW14">
        <v>20.875</v>
      </c>
      <c r="FX14">
        <v>59.430604982206404</v>
      </c>
      <c r="FY14">
        <v>55.25</v>
      </c>
      <c r="FZ14">
        <v>43.5</v>
      </c>
      <c r="GA14">
        <v>78.733031674208149</v>
      </c>
      <c r="GB14">
        <v>68.25</v>
      </c>
      <c r="GC14">
        <v>54.5</v>
      </c>
      <c r="GD14">
        <v>79.853479853479854</v>
      </c>
      <c r="GE14">
        <v>1.5</v>
      </c>
      <c r="GF14">
        <v>0.875</v>
      </c>
      <c r="GG14">
        <v>58.333333333333336</v>
      </c>
      <c r="GH14">
        <v>12.5</v>
      </c>
      <c r="GI14">
        <v>11.25</v>
      </c>
      <c r="GJ14">
        <v>90</v>
      </c>
      <c r="GK14">
        <v>5.5</v>
      </c>
      <c r="GL14">
        <v>16.723749999999999</v>
      </c>
      <c r="GM14">
        <v>4.7224999999999993</v>
      </c>
      <c r="GN14">
        <v>8.7975000000000012</v>
      </c>
      <c r="GO14">
        <v>20.421249999999997</v>
      </c>
      <c r="GP14">
        <v>17.69125</v>
      </c>
      <c r="GQ14">
        <v>10.409999999999998</v>
      </c>
      <c r="GR14">
        <f t="shared" si="2"/>
        <v>0.78625000000000012</v>
      </c>
      <c r="GS14">
        <f t="shared" si="3"/>
        <v>1.6187499999999999</v>
      </c>
      <c r="GT14">
        <f t="shared" si="4"/>
        <v>0.11874999999999991</v>
      </c>
      <c r="GU14">
        <f t="shared" si="5"/>
        <v>0.16125000000000012</v>
      </c>
      <c r="GV14">
        <f t="shared" si="6"/>
        <v>3.75</v>
      </c>
      <c r="GW14">
        <f t="shared" si="7"/>
        <v>7.25</v>
      </c>
      <c r="GX14" s="2">
        <f t="shared" si="8"/>
        <v>0.53038674033149169</v>
      </c>
      <c r="GY14" s="2">
        <f t="shared" si="9"/>
        <v>0.35911602209944754</v>
      </c>
      <c r="GZ14" s="2">
        <f t="shared" si="10"/>
        <v>0.11049723756906077</v>
      </c>
      <c r="HA14">
        <f t="shared" si="11"/>
        <v>0.11750000000000001</v>
      </c>
      <c r="HB14">
        <f t="shared" si="12"/>
        <v>0.11717948717948717</v>
      </c>
    </row>
    <row r="15" spans="1:210" x14ac:dyDescent="0.2">
      <c r="A15" t="s">
        <v>124</v>
      </c>
      <c r="B15">
        <v>1.75</v>
      </c>
      <c r="C15">
        <v>1.56</v>
      </c>
      <c r="D15">
        <v>14.125</v>
      </c>
      <c r="E15">
        <v>5.25</v>
      </c>
      <c r="F15">
        <v>37.168141592920357</v>
      </c>
      <c r="G15">
        <v>441</v>
      </c>
      <c r="H15">
        <v>374.625</v>
      </c>
      <c r="I15">
        <v>84.948979591836732</v>
      </c>
      <c r="J15">
        <v>54.316250000000004</v>
      </c>
      <c r="K15">
        <v>93.125</v>
      </c>
      <c r="L15">
        <v>14.375</v>
      </c>
      <c r="M15">
        <v>30.25</v>
      </c>
      <c r="N15">
        <v>48.5</v>
      </c>
      <c r="O15">
        <v>68.25</v>
      </c>
      <c r="P15">
        <v>26.5</v>
      </c>
      <c r="Q15">
        <v>28.875</v>
      </c>
      <c r="R15">
        <v>12.875</v>
      </c>
      <c r="S15">
        <v>173.75</v>
      </c>
      <c r="T15">
        <v>82.625</v>
      </c>
      <c r="U15">
        <v>47.553956834532372</v>
      </c>
      <c r="V15">
        <v>6.5</v>
      </c>
      <c r="W15">
        <v>1.375</v>
      </c>
      <c r="X15">
        <v>21.153846153846153</v>
      </c>
      <c r="Y15">
        <v>32.875</v>
      </c>
      <c r="Z15">
        <v>8.375</v>
      </c>
      <c r="AA15">
        <v>25.475285171102662</v>
      </c>
      <c r="AB15">
        <v>1.25</v>
      </c>
      <c r="AC15">
        <v>0.25</v>
      </c>
      <c r="AD15">
        <v>20</v>
      </c>
      <c r="AE15">
        <v>24</v>
      </c>
      <c r="AF15">
        <v>3.625</v>
      </c>
      <c r="AG15">
        <v>15.104166666666666</v>
      </c>
      <c r="AH15">
        <v>4.5</v>
      </c>
      <c r="AI15">
        <v>1.75</v>
      </c>
      <c r="AJ15">
        <v>38.888888888888893</v>
      </c>
      <c r="AK15">
        <v>3.125</v>
      </c>
      <c r="AL15">
        <v>0.5</v>
      </c>
      <c r="AM15">
        <v>16</v>
      </c>
      <c r="AN15">
        <v>0.5</v>
      </c>
      <c r="AO15">
        <v>0.5</v>
      </c>
      <c r="AP15">
        <v>100</v>
      </c>
      <c r="AQ15">
        <v>12.75</v>
      </c>
      <c r="AR15">
        <v>3.125</v>
      </c>
      <c r="AS15">
        <v>24.509803921568626</v>
      </c>
      <c r="AT15">
        <v>2.625</v>
      </c>
      <c r="AU15">
        <v>11.125</v>
      </c>
      <c r="AV15">
        <v>24.125</v>
      </c>
      <c r="AW15">
        <v>4.375</v>
      </c>
      <c r="AX15">
        <v>6.125</v>
      </c>
      <c r="AY15">
        <v>20.625</v>
      </c>
      <c r="AZ15">
        <v>66.25</v>
      </c>
      <c r="BA15">
        <v>23</v>
      </c>
      <c r="BB15">
        <v>34.716981132075468</v>
      </c>
      <c r="BC15">
        <v>1.5</v>
      </c>
      <c r="BD15">
        <v>61.875</v>
      </c>
      <c r="BE15">
        <v>38.625</v>
      </c>
      <c r="BF15">
        <v>62.424242424242429</v>
      </c>
      <c r="BG15">
        <v>23.375</v>
      </c>
      <c r="BH15">
        <v>9</v>
      </c>
      <c r="BI15">
        <v>38.502673796791441</v>
      </c>
      <c r="BJ15">
        <v>2.625</v>
      </c>
      <c r="BK15">
        <v>1.375</v>
      </c>
      <c r="BL15">
        <v>52.380952380952387</v>
      </c>
      <c r="BM15">
        <v>32.625</v>
      </c>
      <c r="BN15">
        <v>12.75</v>
      </c>
      <c r="BO15">
        <v>12.625</v>
      </c>
      <c r="BP15">
        <v>3</v>
      </c>
      <c r="BQ15">
        <v>0</v>
      </c>
      <c r="BR15">
        <v>150.5</v>
      </c>
      <c r="BS15">
        <v>117.875</v>
      </c>
      <c r="BT15">
        <v>78.322259136212622</v>
      </c>
      <c r="BU15">
        <v>66.5</v>
      </c>
      <c r="BV15">
        <v>63.5</v>
      </c>
      <c r="BW15">
        <v>95.488721804511272</v>
      </c>
      <c r="BX15">
        <v>140</v>
      </c>
      <c r="BY15">
        <v>122.25</v>
      </c>
      <c r="BZ15">
        <v>87.321428571428569</v>
      </c>
      <c r="CA15">
        <v>36.875</v>
      </c>
      <c r="CB15">
        <v>21.75</v>
      </c>
      <c r="CC15">
        <v>58.983050847457633</v>
      </c>
      <c r="CD15">
        <v>58.375</v>
      </c>
      <c r="CE15">
        <v>43.5</v>
      </c>
      <c r="CF15">
        <v>74.518201284796575</v>
      </c>
      <c r="CG15">
        <v>67</v>
      </c>
      <c r="CH15">
        <v>51.625</v>
      </c>
      <c r="CI15">
        <v>77.052238805970148</v>
      </c>
      <c r="CJ15">
        <v>1.875</v>
      </c>
      <c r="CK15">
        <v>1</v>
      </c>
      <c r="CL15">
        <v>53.333333333333336</v>
      </c>
      <c r="CM15">
        <v>18.75</v>
      </c>
      <c r="CN15">
        <v>17.375</v>
      </c>
      <c r="CO15">
        <v>92.666666666666657</v>
      </c>
      <c r="CP15">
        <v>7.875</v>
      </c>
      <c r="CQ15">
        <v>17.479999999999997</v>
      </c>
      <c r="CR15">
        <v>4.4950000000000001</v>
      </c>
      <c r="CS15">
        <v>8.5975000000000001</v>
      </c>
      <c r="CT15">
        <v>20.38625</v>
      </c>
      <c r="CU15">
        <v>17.807500000000001</v>
      </c>
      <c r="CV15">
        <v>10.355</v>
      </c>
      <c r="CW15">
        <v>1.25</v>
      </c>
      <c r="CX15">
        <v>1.2500000000000002</v>
      </c>
      <c r="CY15">
        <v>12.125</v>
      </c>
      <c r="CZ15">
        <v>4.125</v>
      </c>
      <c r="DA15">
        <v>34.020618556701031</v>
      </c>
      <c r="DB15">
        <v>341.875</v>
      </c>
      <c r="DC15">
        <v>281.375</v>
      </c>
      <c r="DD15">
        <v>82.303473491773303</v>
      </c>
      <c r="DE15">
        <v>45.683750000000003</v>
      </c>
      <c r="DF15">
        <v>95.125</v>
      </c>
      <c r="DG15">
        <v>22.625</v>
      </c>
      <c r="DH15">
        <v>32.125</v>
      </c>
      <c r="DI15">
        <v>40.375</v>
      </c>
      <c r="DJ15">
        <v>66.5</v>
      </c>
      <c r="DK15">
        <v>33.375</v>
      </c>
      <c r="DL15">
        <v>25</v>
      </c>
      <c r="DM15">
        <v>8.125</v>
      </c>
      <c r="DN15">
        <v>173.75</v>
      </c>
      <c r="DO15">
        <v>85.875</v>
      </c>
      <c r="DP15">
        <v>49.42446043165468</v>
      </c>
      <c r="DQ15">
        <v>5.875</v>
      </c>
      <c r="DR15">
        <v>1.125</v>
      </c>
      <c r="DS15">
        <v>19.148936170212767</v>
      </c>
      <c r="DT15">
        <v>22.75</v>
      </c>
      <c r="DU15">
        <v>7</v>
      </c>
      <c r="DV15">
        <v>30.76923076923077</v>
      </c>
      <c r="DW15">
        <v>1.125</v>
      </c>
      <c r="DX15">
        <v>0.5</v>
      </c>
      <c r="DY15">
        <v>44.444444444444443</v>
      </c>
      <c r="DZ15">
        <v>25.625</v>
      </c>
      <c r="EA15">
        <v>3.625</v>
      </c>
      <c r="EB15">
        <v>14.146341463414632</v>
      </c>
      <c r="EC15">
        <v>4.625</v>
      </c>
      <c r="ED15">
        <v>1.125</v>
      </c>
      <c r="EE15">
        <v>24.324324324324326</v>
      </c>
      <c r="EF15">
        <v>3.25</v>
      </c>
      <c r="EG15">
        <v>1.375</v>
      </c>
      <c r="EH15">
        <v>42.307692307692307</v>
      </c>
      <c r="EI15">
        <v>0.125</v>
      </c>
      <c r="EJ15">
        <v>0</v>
      </c>
      <c r="EK15">
        <v>0</v>
      </c>
      <c r="EL15">
        <v>10.375</v>
      </c>
      <c r="EM15">
        <v>3.125</v>
      </c>
      <c r="EN15">
        <v>30.120481927710845</v>
      </c>
      <c r="EO15">
        <v>2.625</v>
      </c>
      <c r="EP15">
        <v>5.75</v>
      </c>
      <c r="EQ15">
        <v>17.5</v>
      </c>
      <c r="ER15">
        <v>3.125</v>
      </c>
      <c r="ES15">
        <v>6</v>
      </c>
      <c r="ET15">
        <v>12.75</v>
      </c>
      <c r="EU15">
        <v>61.875</v>
      </c>
      <c r="EV15">
        <v>23.25</v>
      </c>
      <c r="EW15">
        <v>37.575757575757571</v>
      </c>
      <c r="EX15">
        <v>1.5</v>
      </c>
      <c r="EY15">
        <v>66.25</v>
      </c>
      <c r="EZ15">
        <v>43.25</v>
      </c>
      <c r="FA15">
        <v>65.283018867924525</v>
      </c>
      <c r="FB15">
        <v>23.375</v>
      </c>
      <c r="FC15">
        <v>11.375</v>
      </c>
      <c r="FD15">
        <v>48.663101604278076</v>
      </c>
      <c r="FE15">
        <v>3.625</v>
      </c>
      <c r="FF15">
        <v>2</v>
      </c>
      <c r="FG15">
        <v>55.172413793103445</v>
      </c>
      <c r="FH15">
        <v>38.75</v>
      </c>
      <c r="FI15">
        <v>16</v>
      </c>
      <c r="FJ15">
        <v>12.125</v>
      </c>
      <c r="FK15">
        <v>3.25</v>
      </c>
      <c r="FL15">
        <v>0.5</v>
      </c>
      <c r="FM15">
        <v>124.75</v>
      </c>
      <c r="FN15">
        <v>90.125</v>
      </c>
      <c r="FO15">
        <v>72.244488977955911</v>
      </c>
      <c r="FP15">
        <v>48.125</v>
      </c>
      <c r="FQ15">
        <v>44.75</v>
      </c>
      <c r="FR15">
        <v>92.987012987012989</v>
      </c>
      <c r="FS15">
        <v>110.5</v>
      </c>
      <c r="FT15">
        <v>96.875</v>
      </c>
      <c r="FU15">
        <v>87.66968325791855</v>
      </c>
      <c r="FV15">
        <v>37.375</v>
      </c>
      <c r="FW15">
        <v>19.125</v>
      </c>
      <c r="FX15">
        <v>51.170568561872912</v>
      </c>
      <c r="FY15">
        <v>41.25</v>
      </c>
      <c r="FZ15">
        <v>28.625</v>
      </c>
      <c r="GA15">
        <v>69.393939393939391</v>
      </c>
      <c r="GB15">
        <v>59.75</v>
      </c>
      <c r="GC15">
        <v>38.625</v>
      </c>
      <c r="GD15">
        <v>64.644351464435147</v>
      </c>
      <c r="GE15">
        <v>1.625</v>
      </c>
      <c r="GF15">
        <v>1</v>
      </c>
      <c r="GG15">
        <v>61.53846153846154</v>
      </c>
      <c r="GH15">
        <v>19.375</v>
      </c>
      <c r="GI15">
        <v>16.375</v>
      </c>
      <c r="GJ15">
        <v>84.516129032258064</v>
      </c>
      <c r="GK15">
        <v>8.5</v>
      </c>
      <c r="GL15">
        <v>16.278749999999999</v>
      </c>
      <c r="GM15">
        <v>3.4762499999999998</v>
      </c>
      <c r="GN15">
        <v>11.077500000000001</v>
      </c>
      <c r="GO15">
        <v>20.333750000000002</v>
      </c>
      <c r="GP15">
        <v>18.807500000000001</v>
      </c>
      <c r="GQ15">
        <v>11.77</v>
      </c>
      <c r="GR15">
        <f t="shared" si="2"/>
        <v>1.1800000000000002</v>
      </c>
      <c r="GS15">
        <f t="shared" si="3"/>
        <v>1.1550000000000002</v>
      </c>
      <c r="GT15">
        <f t="shared" si="4"/>
        <v>0.18999999999999995</v>
      </c>
      <c r="GU15">
        <f t="shared" si="5"/>
        <v>0</v>
      </c>
      <c r="GV15">
        <f t="shared" si="6"/>
        <v>7.625</v>
      </c>
      <c r="GW15">
        <f t="shared" si="7"/>
        <v>6.25</v>
      </c>
      <c r="GX15" s="2">
        <f t="shared" si="8"/>
        <v>0.38827838827838829</v>
      </c>
      <c r="GY15" s="2">
        <f t="shared" si="9"/>
        <v>0.42307692307692307</v>
      </c>
      <c r="GZ15" s="2">
        <f t="shared" si="10"/>
        <v>0.18864468864468864</v>
      </c>
      <c r="HA15">
        <f t="shared" si="11"/>
        <v>0.1104424778761062</v>
      </c>
      <c r="HB15">
        <f t="shared" si="12"/>
        <v>0.10309278350515466</v>
      </c>
    </row>
    <row r="16" spans="1:210" x14ac:dyDescent="0.2">
      <c r="A16" t="s">
        <v>125</v>
      </c>
      <c r="B16">
        <v>1.125</v>
      </c>
      <c r="C16">
        <v>1.17</v>
      </c>
      <c r="D16">
        <v>9.125</v>
      </c>
      <c r="E16">
        <v>3.375</v>
      </c>
      <c r="F16">
        <v>36.986301369863014</v>
      </c>
      <c r="G16">
        <v>358.625</v>
      </c>
      <c r="H16">
        <v>292.625</v>
      </c>
      <c r="I16">
        <v>81.596375043569196</v>
      </c>
      <c r="J16">
        <v>50.298749999999998</v>
      </c>
      <c r="K16">
        <v>103</v>
      </c>
      <c r="L16">
        <v>23.75</v>
      </c>
      <c r="M16">
        <v>37.375</v>
      </c>
      <c r="N16">
        <v>41.875</v>
      </c>
      <c r="O16">
        <v>73.75</v>
      </c>
      <c r="P16">
        <v>37.125</v>
      </c>
      <c r="Q16">
        <v>28.375</v>
      </c>
      <c r="R16">
        <v>8.25</v>
      </c>
      <c r="S16">
        <v>173.125</v>
      </c>
      <c r="T16">
        <v>81</v>
      </c>
      <c r="U16">
        <v>46.7870036101083</v>
      </c>
      <c r="V16">
        <v>4.25</v>
      </c>
      <c r="W16">
        <v>0.75</v>
      </c>
      <c r="X16">
        <v>17.647058823529413</v>
      </c>
      <c r="Y16">
        <v>25.375</v>
      </c>
      <c r="Z16">
        <v>5.375</v>
      </c>
      <c r="AA16">
        <v>21.182266009852217</v>
      </c>
      <c r="AB16">
        <v>0.375</v>
      </c>
      <c r="AC16">
        <v>0.125</v>
      </c>
      <c r="AD16">
        <v>33.333333333333329</v>
      </c>
      <c r="AE16">
        <v>25.125</v>
      </c>
      <c r="AF16">
        <v>2.75</v>
      </c>
      <c r="AG16">
        <v>10.945273631840797</v>
      </c>
      <c r="AH16">
        <v>4.875</v>
      </c>
      <c r="AI16">
        <v>1.875</v>
      </c>
      <c r="AJ16">
        <v>38.461538461538467</v>
      </c>
      <c r="AK16">
        <v>2.25</v>
      </c>
      <c r="AL16">
        <v>0.375</v>
      </c>
      <c r="AM16">
        <v>16.666666666666664</v>
      </c>
      <c r="AN16">
        <v>0.5</v>
      </c>
      <c r="AO16">
        <v>0.375</v>
      </c>
      <c r="AP16">
        <v>75</v>
      </c>
      <c r="AQ16">
        <v>14.25</v>
      </c>
      <c r="AR16">
        <v>4.375</v>
      </c>
      <c r="AS16">
        <v>30.701754385964914</v>
      </c>
      <c r="AT16">
        <v>4.5</v>
      </c>
      <c r="AU16">
        <v>4.125</v>
      </c>
      <c r="AV16">
        <v>19.625</v>
      </c>
      <c r="AW16">
        <v>2</v>
      </c>
      <c r="AX16">
        <v>8.125</v>
      </c>
      <c r="AY16">
        <v>11.5</v>
      </c>
      <c r="AZ16">
        <v>59.125</v>
      </c>
      <c r="BA16">
        <v>21.625</v>
      </c>
      <c r="BB16">
        <v>36.575052854122617</v>
      </c>
      <c r="BC16">
        <v>1.625</v>
      </c>
      <c r="BD16">
        <v>52.125</v>
      </c>
      <c r="BE16">
        <v>33</v>
      </c>
      <c r="BF16">
        <v>63.309352517985609</v>
      </c>
      <c r="BG16">
        <v>40</v>
      </c>
      <c r="BH16">
        <v>17.25</v>
      </c>
      <c r="BI16">
        <v>43.125</v>
      </c>
      <c r="BJ16">
        <v>5.5</v>
      </c>
      <c r="BK16">
        <v>3.5</v>
      </c>
      <c r="BL16">
        <v>63.636363636363633</v>
      </c>
      <c r="BM16">
        <v>40.5</v>
      </c>
      <c r="BN16">
        <v>22.625</v>
      </c>
      <c r="BO16">
        <v>9.25</v>
      </c>
      <c r="BP16">
        <v>2.625</v>
      </c>
      <c r="BQ16">
        <v>0.375</v>
      </c>
      <c r="BR16">
        <v>123.375</v>
      </c>
      <c r="BS16">
        <v>87.75</v>
      </c>
      <c r="BT16">
        <v>71.124620060790278</v>
      </c>
      <c r="BU16">
        <v>49</v>
      </c>
      <c r="BV16">
        <v>45.625</v>
      </c>
      <c r="BW16">
        <v>93.112244897959187</v>
      </c>
      <c r="BX16">
        <v>137.125</v>
      </c>
      <c r="BY16">
        <v>122.375</v>
      </c>
      <c r="BZ16">
        <v>89.243391066545115</v>
      </c>
      <c r="CA16">
        <v>43.125</v>
      </c>
      <c r="CB16">
        <v>23.625</v>
      </c>
      <c r="CC16">
        <v>54.782608695652172</v>
      </c>
      <c r="CD16">
        <v>46</v>
      </c>
      <c r="CE16">
        <v>32.5</v>
      </c>
      <c r="CF16">
        <v>70.652173913043484</v>
      </c>
      <c r="CG16">
        <v>65.625</v>
      </c>
      <c r="CH16">
        <v>44.125</v>
      </c>
      <c r="CI16">
        <v>67.238095238095241</v>
      </c>
      <c r="CJ16">
        <v>0.875</v>
      </c>
      <c r="CK16">
        <v>0.125</v>
      </c>
      <c r="CL16">
        <v>14.285714285714285</v>
      </c>
      <c r="CM16">
        <v>18.625</v>
      </c>
      <c r="CN16">
        <v>16.25</v>
      </c>
      <c r="CO16">
        <v>87.24832214765101</v>
      </c>
      <c r="CP16">
        <v>7.75</v>
      </c>
      <c r="CQ16">
        <v>15.25</v>
      </c>
      <c r="CR16">
        <v>3.6750000000000003</v>
      </c>
      <c r="CS16">
        <v>12.555</v>
      </c>
      <c r="CT16">
        <v>19.563749999999999</v>
      </c>
      <c r="CU16">
        <v>20.65625</v>
      </c>
      <c r="CV16">
        <v>13.145000000000001</v>
      </c>
      <c r="CW16">
        <v>1</v>
      </c>
      <c r="CX16">
        <v>1.4937499999999999</v>
      </c>
      <c r="CY16">
        <v>11.875</v>
      </c>
      <c r="CZ16">
        <v>4.25</v>
      </c>
      <c r="DA16">
        <v>35.789473684210527</v>
      </c>
      <c r="DB16">
        <v>376.5</v>
      </c>
      <c r="DC16">
        <v>308.875</v>
      </c>
      <c r="DD16">
        <v>82.038512616201871</v>
      </c>
      <c r="DE16">
        <v>49.701250000000002</v>
      </c>
      <c r="DF16">
        <v>101.125</v>
      </c>
      <c r="DG16">
        <v>15.875</v>
      </c>
      <c r="DH16">
        <v>34.625</v>
      </c>
      <c r="DI16">
        <v>50.625</v>
      </c>
      <c r="DJ16">
        <v>74.625</v>
      </c>
      <c r="DK16">
        <v>30.625</v>
      </c>
      <c r="DL16">
        <v>30.75</v>
      </c>
      <c r="DM16">
        <v>13.25</v>
      </c>
      <c r="DN16">
        <v>173.125</v>
      </c>
      <c r="DO16">
        <v>82.875</v>
      </c>
      <c r="DP16">
        <v>47.870036101083031</v>
      </c>
      <c r="DQ16">
        <v>4.875</v>
      </c>
      <c r="DR16">
        <v>0.625</v>
      </c>
      <c r="DS16">
        <v>12.820512820512819</v>
      </c>
      <c r="DT16">
        <v>27.375</v>
      </c>
      <c r="DU16">
        <v>7.875</v>
      </c>
      <c r="DV16">
        <v>28.767123287671232</v>
      </c>
      <c r="DW16">
        <v>1.375</v>
      </c>
      <c r="DX16">
        <v>0.625</v>
      </c>
      <c r="DY16">
        <v>45.454545454545453</v>
      </c>
      <c r="DZ16">
        <v>22.625</v>
      </c>
      <c r="EA16">
        <v>2.5</v>
      </c>
      <c r="EB16">
        <v>11.049723756906078</v>
      </c>
      <c r="EC16">
        <v>5.5</v>
      </c>
      <c r="ED16">
        <v>1</v>
      </c>
      <c r="EE16">
        <v>18.181818181818183</v>
      </c>
      <c r="EF16">
        <v>2</v>
      </c>
      <c r="EG16">
        <v>0.25</v>
      </c>
      <c r="EH16">
        <v>12.5</v>
      </c>
      <c r="EI16">
        <v>0.25</v>
      </c>
      <c r="EJ16">
        <v>0.125</v>
      </c>
      <c r="EK16">
        <v>50</v>
      </c>
      <c r="EL16">
        <v>15.875</v>
      </c>
      <c r="EM16">
        <v>5.375</v>
      </c>
      <c r="EN16">
        <v>33.858267716535437</v>
      </c>
      <c r="EO16">
        <v>5.5</v>
      </c>
      <c r="EP16">
        <v>8.125</v>
      </c>
      <c r="EQ16">
        <v>23.875</v>
      </c>
      <c r="ER16">
        <v>3.25</v>
      </c>
      <c r="ES16">
        <v>10.125</v>
      </c>
      <c r="ET16">
        <v>17.25</v>
      </c>
      <c r="EU16">
        <v>52.125</v>
      </c>
      <c r="EV16">
        <v>19.125</v>
      </c>
      <c r="EW16">
        <v>36.690647482014391</v>
      </c>
      <c r="EX16">
        <v>2.125</v>
      </c>
      <c r="EY16">
        <v>59.125</v>
      </c>
      <c r="EZ16">
        <v>37.5</v>
      </c>
      <c r="FA16">
        <v>63.424947145877375</v>
      </c>
      <c r="FB16">
        <v>40</v>
      </c>
      <c r="FC16">
        <v>17.5</v>
      </c>
      <c r="FD16">
        <v>43.75</v>
      </c>
      <c r="FE16">
        <v>2.875</v>
      </c>
      <c r="FF16">
        <v>1.875</v>
      </c>
      <c r="FG16">
        <v>65.217391304347828</v>
      </c>
      <c r="FH16">
        <v>34.125</v>
      </c>
      <c r="FI16">
        <v>15.875</v>
      </c>
      <c r="FJ16">
        <v>12.875</v>
      </c>
      <c r="FK16">
        <v>3.125</v>
      </c>
      <c r="FL16">
        <v>0.25</v>
      </c>
      <c r="FM16">
        <v>127.375</v>
      </c>
      <c r="FN16">
        <v>92</v>
      </c>
      <c r="FO16">
        <v>72.227674190382729</v>
      </c>
      <c r="FP16">
        <v>51.875</v>
      </c>
      <c r="FQ16">
        <v>49.125</v>
      </c>
      <c r="FR16">
        <v>94.698795180722897</v>
      </c>
      <c r="FS16">
        <v>135.75</v>
      </c>
      <c r="FT16">
        <v>119.25</v>
      </c>
      <c r="FU16">
        <v>87.845303867403317</v>
      </c>
      <c r="FV16">
        <v>40.5</v>
      </c>
      <c r="FW16">
        <v>22.625</v>
      </c>
      <c r="FX16">
        <v>55.864197530864203</v>
      </c>
      <c r="FY16">
        <v>50.375</v>
      </c>
      <c r="FZ16">
        <v>34.875</v>
      </c>
      <c r="GA16">
        <v>69.230769230769226</v>
      </c>
      <c r="GB16">
        <v>62.5</v>
      </c>
      <c r="GC16">
        <v>45.75</v>
      </c>
      <c r="GD16">
        <v>73.2</v>
      </c>
      <c r="GE16">
        <v>0.875</v>
      </c>
      <c r="GF16">
        <v>0.25</v>
      </c>
      <c r="GG16">
        <v>28.571428571428569</v>
      </c>
      <c r="GH16">
        <v>17.875</v>
      </c>
      <c r="GI16">
        <v>15</v>
      </c>
      <c r="GJ16">
        <v>83.91608391608392</v>
      </c>
      <c r="GK16">
        <v>7.625</v>
      </c>
      <c r="GL16">
        <v>16</v>
      </c>
      <c r="GM16">
        <v>4.0474999999999994</v>
      </c>
      <c r="GN16">
        <v>12.023750000000001</v>
      </c>
      <c r="GO16">
        <v>19.260000000000002</v>
      </c>
      <c r="GP16">
        <v>19.739999999999998</v>
      </c>
      <c r="GQ16">
        <v>9.1787500000000009</v>
      </c>
      <c r="GR16">
        <f t="shared" si="2"/>
        <v>0.78999999999999992</v>
      </c>
      <c r="GS16">
        <f t="shared" si="3"/>
        <v>1.30375</v>
      </c>
      <c r="GT16">
        <f t="shared" si="4"/>
        <v>-4.4999999999999929E-2</v>
      </c>
      <c r="GU16">
        <f t="shared" si="5"/>
        <v>-0.49374999999999991</v>
      </c>
      <c r="GV16">
        <f t="shared" si="6"/>
        <v>4.875</v>
      </c>
      <c r="GW16">
        <f t="shared" si="7"/>
        <v>7</v>
      </c>
      <c r="GX16" s="2">
        <f t="shared" si="8"/>
        <v>0.50338983050847452</v>
      </c>
      <c r="GY16" s="2">
        <f t="shared" si="9"/>
        <v>0.38474576271186439</v>
      </c>
      <c r="GZ16" s="2">
        <f t="shared" si="10"/>
        <v>0.11186440677966102</v>
      </c>
      <c r="HA16">
        <f t="shared" si="11"/>
        <v>0.12821917808219177</v>
      </c>
      <c r="HB16">
        <f t="shared" si="12"/>
        <v>0.12578947368421051</v>
      </c>
    </row>
    <row r="17" spans="1:210" x14ac:dyDescent="0.2">
      <c r="A17" t="s">
        <v>126</v>
      </c>
      <c r="B17">
        <v>1.2222222222222223</v>
      </c>
      <c r="C17">
        <v>1.7177777777777778</v>
      </c>
      <c r="D17">
        <v>15.777777777777779</v>
      </c>
      <c r="E17">
        <v>6</v>
      </c>
      <c r="F17">
        <v>38.028169014084504</v>
      </c>
      <c r="G17">
        <v>376.77777777777777</v>
      </c>
      <c r="H17">
        <v>314.77777777777777</v>
      </c>
      <c r="I17">
        <v>83.544677086405201</v>
      </c>
      <c r="J17">
        <v>54.207777777777778</v>
      </c>
      <c r="K17">
        <v>99.666666666666671</v>
      </c>
      <c r="L17">
        <v>15.555555555555555</v>
      </c>
      <c r="M17">
        <v>32.666666666666664</v>
      </c>
      <c r="N17">
        <v>51.444444444444443</v>
      </c>
      <c r="O17">
        <v>76.444444444444443</v>
      </c>
      <c r="P17">
        <v>31.444444444444443</v>
      </c>
      <c r="Q17">
        <v>32.444444444444443</v>
      </c>
      <c r="R17">
        <v>12.555555555555555</v>
      </c>
      <c r="S17">
        <v>178.11111111111111</v>
      </c>
      <c r="T17">
        <v>87.555555555555557</v>
      </c>
      <c r="U17">
        <v>49.157829070492824</v>
      </c>
      <c r="V17">
        <v>7.666666666666667</v>
      </c>
      <c r="W17">
        <v>2.2222222222222223</v>
      </c>
      <c r="X17">
        <v>28.985507246376812</v>
      </c>
      <c r="Y17">
        <v>29.888888888888889</v>
      </c>
      <c r="Z17">
        <v>9.3333333333333339</v>
      </c>
      <c r="AA17">
        <v>31.226765799256505</v>
      </c>
      <c r="AB17">
        <v>1.1111111111111112</v>
      </c>
      <c r="AC17">
        <v>0.66666666666666663</v>
      </c>
      <c r="AD17">
        <v>60</v>
      </c>
      <c r="AE17">
        <v>25.333333333333332</v>
      </c>
      <c r="AF17">
        <v>4.4444444444444446</v>
      </c>
      <c r="AG17">
        <v>17.543859649122805</v>
      </c>
      <c r="AH17">
        <v>5.8888888888888893</v>
      </c>
      <c r="AI17">
        <v>1.8888888888888888</v>
      </c>
      <c r="AJ17">
        <v>32.075471698113205</v>
      </c>
      <c r="AK17">
        <v>4.666666666666667</v>
      </c>
      <c r="AL17">
        <v>0.77777777777777779</v>
      </c>
      <c r="AM17">
        <v>16.666666666666664</v>
      </c>
      <c r="AN17">
        <v>0.22222222222222221</v>
      </c>
      <c r="AO17">
        <v>0.22222222222222221</v>
      </c>
      <c r="AP17">
        <v>100</v>
      </c>
      <c r="AQ17">
        <v>14.444444444444445</v>
      </c>
      <c r="AR17">
        <v>4.666666666666667</v>
      </c>
      <c r="AS17">
        <v>32.307692307692307</v>
      </c>
      <c r="AT17">
        <v>4.5555555555555554</v>
      </c>
      <c r="AU17">
        <v>9.5555555555555554</v>
      </c>
      <c r="AV17">
        <v>25.333333333333332</v>
      </c>
      <c r="AW17">
        <v>5</v>
      </c>
      <c r="AX17">
        <v>7.666666666666667</v>
      </c>
      <c r="AY17">
        <v>19.666666666666668</v>
      </c>
      <c r="AZ17">
        <v>63.666666666666664</v>
      </c>
      <c r="BA17">
        <v>25.888888888888889</v>
      </c>
      <c r="BB17">
        <v>40.663176265270508</v>
      </c>
      <c r="BC17">
        <v>0.88888888888888884</v>
      </c>
      <c r="BD17">
        <v>54</v>
      </c>
      <c r="BE17">
        <v>35.555555555555557</v>
      </c>
      <c r="BF17">
        <v>65.843621399176953</v>
      </c>
      <c r="BG17">
        <v>38.555555555555557</v>
      </c>
      <c r="BH17">
        <v>16.444444444444443</v>
      </c>
      <c r="BI17">
        <v>42.65129682997118</v>
      </c>
      <c r="BJ17">
        <v>1.7777777777777777</v>
      </c>
      <c r="BK17">
        <v>1</v>
      </c>
      <c r="BL17">
        <v>56.25</v>
      </c>
      <c r="BM17">
        <v>31.111111111111111</v>
      </c>
      <c r="BN17">
        <v>14.333333333333334</v>
      </c>
      <c r="BO17">
        <v>12.666666666666666</v>
      </c>
      <c r="BP17">
        <v>2.7777777777777777</v>
      </c>
      <c r="BQ17">
        <v>0.22222222222222221</v>
      </c>
      <c r="BR17">
        <v>125.22222222222223</v>
      </c>
      <c r="BS17">
        <v>93.888888888888886</v>
      </c>
      <c r="BT17">
        <v>74.977817213842059</v>
      </c>
      <c r="BU17">
        <v>58.222222222222221</v>
      </c>
      <c r="BV17">
        <v>54.444444444444443</v>
      </c>
      <c r="BW17">
        <v>93.511450381679381</v>
      </c>
      <c r="BX17">
        <v>131.33333333333334</v>
      </c>
      <c r="BY17">
        <v>116.77777777777777</v>
      </c>
      <c r="BZ17">
        <v>88.91708967851099</v>
      </c>
      <c r="CA17">
        <v>38.111111111111114</v>
      </c>
      <c r="CB17">
        <v>20.888888888888889</v>
      </c>
      <c r="CC17">
        <v>54.810495626822153</v>
      </c>
      <c r="CD17">
        <v>52.888888888888886</v>
      </c>
      <c r="CE17">
        <v>38.333333333333336</v>
      </c>
      <c r="CF17">
        <v>72.47899159663865</v>
      </c>
      <c r="CG17">
        <v>64.555555555555557</v>
      </c>
      <c r="CH17">
        <v>50.222222222222221</v>
      </c>
      <c r="CI17">
        <v>77.796901893287441</v>
      </c>
      <c r="CJ17">
        <v>0.55555555555555558</v>
      </c>
      <c r="CK17">
        <v>0.55555555555555558</v>
      </c>
      <c r="CL17">
        <v>100</v>
      </c>
      <c r="CM17">
        <v>19.333333333333332</v>
      </c>
      <c r="CN17">
        <v>17.555555555555557</v>
      </c>
      <c r="CO17">
        <v>90.804597701149419</v>
      </c>
      <c r="CP17">
        <v>5.5555555555555554</v>
      </c>
      <c r="CQ17">
        <v>16.079999999999998</v>
      </c>
      <c r="CR17">
        <v>3.8022222222222219</v>
      </c>
      <c r="CS17">
        <v>10.898888888888887</v>
      </c>
      <c r="CT17">
        <v>19.568888888888889</v>
      </c>
      <c r="CU17">
        <v>19.126666666666665</v>
      </c>
      <c r="CV17">
        <v>8.5555555555555554</v>
      </c>
      <c r="CW17">
        <v>1.5555555555555556</v>
      </c>
      <c r="CX17">
        <v>1.3355555555555556</v>
      </c>
      <c r="CY17">
        <v>8</v>
      </c>
      <c r="CZ17">
        <v>3.4444444444444446</v>
      </c>
      <c r="DA17">
        <v>43.055555555555557</v>
      </c>
      <c r="DB17">
        <v>302.55555555555554</v>
      </c>
      <c r="DC17">
        <v>242.77777777777777</v>
      </c>
      <c r="DD17">
        <v>80.242379728240905</v>
      </c>
      <c r="DE17">
        <v>45.792222222222222</v>
      </c>
      <c r="DF17">
        <v>99.111111111111114</v>
      </c>
      <c r="DG17">
        <v>22.888888888888889</v>
      </c>
      <c r="DH17">
        <v>35.444444444444443</v>
      </c>
      <c r="DI17">
        <v>40.777777777777779</v>
      </c>
      <c r="DJ17">
        <v>71.222222222222229</v>
      </c>
      <c r="DK17">
        <v>37</v>
      </c>
      <c r="DL17">
        <v>27.222222222222221</v>
      </c>
      <c r="DM17">
        <v>7</v>
      </c>
      <c r="DN17">
        <v>178.11111111111111</v>
      </c>
      <c r="DO17">
        <v>83.222222222222229</v>
      </c>
      <c r="DP17">
        <v>46.724890829694324</v>
      </c>
      <c r="DQ17">
        <v>3.5555555555555554</v>
      </c>
      <c r="DR17">
        <v>1.3333333333333333</v>
      </c>
      <c r="DS17">
        <v>37.5</v>
      </c>
      <c r="DT17">
        <v>19.444444444444443</v>
      </c>
      <c r="DU17">
        <v>4.7777777777777777</v>
      </c>
      <c r="DV17">
        <v>24.571428571428573</v>
      </c>
      <c r="DW17">
        <v>1</v>
      </c>
      <c r="DX17">
        <v>0.77777777777777779</v>
      </c>
      <c r="DY17">
        <v>77.777777777777786</v>
      </c>
      <c r="DZ17">
        <v>25.333333333333332</v>
      </c>
      <c r="EA17">
        <v>1.8888888888888888</v>
      </c>
      <c r="EB17">
        <v>7.4561403508771926</v>
      </c>
      <c r="EC17">
        <v>3.6666666666666665</v>
      </c>
      <c r="ED17">
        <v>1.1111111111111112</v>
      </c>
      <c r="EE17">
        <v>30.303030303030305</v>
      </c>
      <c r="EF17">
        <v>1.8888888888888888</v>
      </c>
      <c r="EG17">
        <v>0.55555555555555558</v>
      </c>
      <c r="EH17">
        <v>29.411764705882355</v>
      </c>
      <c r="EI17">
        <v>0.44444444444444442</v>
      </c>
      <c r="EJ17">
        <v>0.44444444444444442</v>
      </c>
      <c r="EK17">
        <v>100</v>
      </c>
      <c r="EL17">
        <v>11.777777777777779</v>
      </c>
      <c r="EM17">
        <v>3.6666666666666665</v>
      </c>
      <c r="EN17">
        <v>31.132075471698112</v>
      </c>
      <c r="EO17">
        <v>3.7777777777777777</v>
      </c>
      <c r="EP17">
        <v>4.4444444444444446</v>
      </c>
      <c r="EQ17">
        <v>16.444444444444443</v>
      </c>
      <c r="ER17">
        <v>2.1111111111111112</v>
      </c>
      <c r="ES17">
        <v>6.666666666666667</v>
      </c>
      <c r="ET17">
        <v>10.222222222222221</v>
      </c>
      <c r="EU17">
        <v>54</v>
      </c>
      <c r="EV17">
        <v>18.444444444444443</v>
      </c>
      <c r="EW17">
        <v>34.156378600823047</v>
      </c>
      <c r="EX17">
        <v>1.3333333333333333</v>
      </c>
      <c r="EY17">
        <v>63.666666666666664</v>
      </c>
      <c r="EZ17">
        <v>37.777777777777779</v>
      </c>
      <c r="FA17">
        <v>59.336823734729492</v>
      </c>
      <c r="FB17">
        <v>38.555555555555557</v>
      </c>
      <c r="FC17">
        <v>17.555555555555557</v>
      </c>
      <c r="FD17">
        <v>45.533141210374637</v>
      </c>
      <c r="FE17">
        <v>4.2222222222222223</v>
      </c>
      <c r="FF17">
        <v>2.3333333333333335</v>
      </c>
      <c r="FG17">
        <v>55.26315789473685</v>
      </c>
      <c r="FH17">
        <v>38.222222222222221</v>
      </c>
      <c r="FI17">
        <v>18.666666666666668</v>
      </c>
      <c r="FJ17">
        <v>13.888888888888889</v>
      </c>
      <c r="FK17">
        <v>2.7777777777777777</v>
      </c>
      <c r="FL17">
        <v>0.44444444444444442</v>
      </c>
      <c r="FM17">
        <v>109.88888888888889</v>
      </c>
      <c r="FN17">
        <v>78.222222222222229</v>
      </c>
      <c r="FO17">
        <v>71.18301314459049</v>
      </c>
      <c r="FP17">
        <v>38.111111111111114</v>
      </c>
      <c r="FQ17">
        <v>35.111111111111114</v>
      </c>
      <c r="FR17">
        <v>92.128279883381921</v>
      </c>
      <c r="FS17">
        <v>102.22222222222223</v>
      </c>
      <c r="FT17">
        <v>86.777777777777771</v>
      </c>
      <c r="FU17">
        <v>84.891304347826093</v>
      </c>
      <c r="FV17">
        <v>37</v>
      </c>
      <c r="FW17">
        <v>20.111111111111111</v>
      </c>
      <c r="FX17">
        <v>54.354354354354349</v>
      </c>
      <c r="FY17">
        <v>37.111111111111114</v>
      </c>
      <c r="FZ17">
        <v>25.555555555555557</v>
      </c>
      <c r="GA17">
        <v>68.862275449101801</v>
      </c>
      <c r="GB17">
        <v>55</v>
      </c>
      <c r="GC17">
        <v>37.666666666666664</v>
      </c>
      <c r="GD17">
        <v>68.484848484848484</v>
      </c>
      <c r="GE17">
        <v>1.4444444444444444</v>
      </c>
      <c r="GF17">
        <v>0.44444444444444442</v>
      </c>
      <c r="GG17">
        <v>30.76923076923077</v>
      </c>
      <c r="GH17">
        <v>15.333333333333334</v>
      </c>
      <c r="GI17">
        <v>12.888888888888889</v>
      </c>
      <c r="GJ17">
        <v>84.05797101449275</v>
      </c>
      <c r="GK17">
        <v>11</v>
      </c>
      <c r="GL17">
        <v>15.396666666666667</v>
      </c>
      <c r="GM17">
        <v>3.2688888888888887</v>
      </c>
      <c r="GN17">
        <v>12.681111111111113</v>
      </c>
      <c r="GO17">
        <v>19.448888888888888</v>
      </c>
      <c r="GP17">
        <v>19.537777777777777</v>
      </c>
      <c r="GQ17">
        <v>10.137777777777778</v>
      </c>
      <c r="GR17">
        <f t="shared" si="2"/>
        <v>1.548888888888889</v>
      </c>
      <c r="GS17">
        <f t="shared" si="3"/>
        <v>0.99777777777777787</v>
      </c>
      <c r="GT17">
        <f t="shared" si="4"/>
        <v>-0.49555555555555553</v>
      </c>
      <c r="GU17">
        <f t="shared" si="5"/>
        <v>0.21999999999999997</v>
      </c>
      <c r="GV17">
        <f t="shared" si="6"/>
        <v>8.1111111111111107</v>
      </c>
      <c r="GW17">
        <f t="shared" si="7"/>
        <v>4.4444444444444446</v>
      </c>
      <c r="GX17" s="2">
        <f t="shared" si="8"/>
        <v>0.41133720930232559</v>
      </c>
      <c r="GY17" s="2">
        <f t="shared" si="9"/>
        <v>0.42441860465116277</v>
      </c>
      <c r="GZ17" s="2">
        <f t="shared" si="10"/>
        <v>0.16424418604651164</v>
      </c>
      <c r="HA17">
        <f t="shared" si="11"/>
        <v>0.10887323943661972</v>
      </c>
      <c r="HB17">
        <f t="shared" si="12"/>
        <v>0.16694444444444445</v>
      </c>
    </row>
    <row r="18" spans="1:210" x14ac:dyDescent="0.2">
      <c r="A18" t="s">
        <v>127</v>
      </c>
      <c r="B18">
        <v>1.4444444444444444</v>
      </c>
      <c r="C18">
        <v>1.65</v>
      </c>
      <c r="D18">
        <v>13.555555555555555</v>
      </c>
      <c r="E18">
        <v>4.5555555555555554</v>
      </c>
      <c r="F18">
        <v>33.606557377049178</v>
      </c>
      <c r="G18">
        <v>323.88888888888891</v>
      </c>
      <c r="H18">
        <v>256.88888888888891</v>
      </c>
      <c r="I18">
        <v>79.313893653516303</v>
      </c>
      <c r="J18">
        <v>45.038888888888899</v>
      </c>
      <c r="K18">
        <v>96.555555555555557</v>
      </c>
      <c r="L18">
        <v>17.222222222222221</v>
      </c>
      <c r="M18">
        <v>33.777777777777779</v>
      </c>
      <c r="N18">
        <v>45.555555555555557</v>
      </c>
      <c r="O18">
        <v>68.222222222222229</v>
      </c>
      <c r="P18">
        <v>33</v>
      </c>
      <c r="Q18">
        <v>25.333333333333332</v>
      </c>
      <c r="R18">
        <v>9.8888888888888893</v>
      </c>
      <c r="S18">
        <v>161.11111111111111</v>
      </c>
      <c r="T18">
        <v>80.666666666666671</v>
      </c>
      <c r="U18">
        <v>50.068965517241381</v>
      </c>
      <c r="V18">
        <v>6.7777777777777777</v>
      </c>
      <c r="W18">
        <v>1.6666666666666667</v>
      </c>
      <c r="X18">
        <v>24.590163934426229</v>
      </c>
      <c r="Y18">
        <v>26.666666666666668</v>
      </c>
      <c r="Z18">
        <v>8.8888888888888893</v>
      </c>
      <c r="AA18">
        <v>33.333333333333329</v>
      </c>
      <c r="AB18">
        <v>0.44444444444444442</v>
      </c>
      <c r="AC18">
        <v>0.33333333333333331</v>
      </c>
      <c r="AD18">
        <v>75</v>
      </c>
      <c r="AE18">
        <v>23.888888888888889</v>
      </c>
      <c r="AF18">
        <v>3.4444444444444446</v>
      </c>
      <c r="AG18">
        <v>14.418604651162791</v>
      </c>
      <c r="AH18">
        <v>4.8888888888888893</v>
      </c>
      <c r="AI18">
        <v>1.8888888888888888</v>
      </c>
      <c r="AJ18">
        <v>38.636363636363633</v>
      </c>
      <c r="AK18">
        <v>2.2222222222222223</v>
      </c>
      <c r="AL18">
        <v>0.55555555555555558</v>
      </c>
      <c r="AM18">
        <v>25</v>
      </c>
      <c r="AN18">
        <v>0.22222222222222221</v>
      </c>
      <c r="AO18">
        <v>0.22222222222222221</v>
      </c>
      <c r="AP18">
        <v>100</v>
      </c>
      <c r="AQ18">
        <v>12.666666666666666</v>
      </c>
      <c r="AR18">
        <v>5</v>
      </c>
      <c r="AS18">
        <v>39.473684210526315</v>
      </c>
      <c r="AT18">
        <v>4.8888888888888893</v>
      </c>
      <c r="AU18">
        <v>8.1111111111111107</v>
      </c>
      <c r="AV18">
        <v>21.888888888888889</v>
      </c>
      <c r="AW18">
        <v>3.1111111111111112</v>
      </c>
      <c r="AX18">
        <v>8.1111111111111107</v>
      </c>
      <c r="AY18">
        <v>16.333333333333332</v>
      </c>
      <c r="AZ18">
        <v>50.333333333333336</v>
      </c>
      <c r="BA18">
        <v>18.222222222222221</v>
      </c>
      <c r="BB18">
        <v>36.203090507726273</v>
      </c>
      <c r="BC18">
        <v>2.1111111111111112</v>
      </c>
      <c r="BD18">
        <v>59.777777777777779</v>
      </c>
      <c r="BE18">
        <v>38.888888888888886</v>
      </c>
      <c r="BF18">
        <v>65.05576208178438</v>
      </c>
      <c r="BG18">
        <v>28.444444444444443</v>
      </c>
      <c r="BH18">
        <v>14</v>
      </c>
      <c r="BI18">
        <v>49.21875</v>
      </c>
      <c r="BJ18">
        <v>5.1111111111111107</v>
      </c>
      <c r="BK18">
        <v>3.1111111111111112</v>
      </c>
      <c r="BL18">
        <v>60.869565217391312</v>
      </c>
      <c r="BM18">
        <v>37</v>
      </c>
      <c r="BN18">
        <v>17.333333333333332</v>
      </c>
      <c r="BO18">
        <v>11.888888888888889</v>
      </c>
      <c r="BP18">
        <v>3.4444444444444446</v>
      </c>
      <c r="BQ18">
        <v>0.22222222222222221</v>
      </c>
      <c r="BR18">
        <v>123</v>
      </c>
      <c r="BS18">
        <v>85.333333333333329</v>
      </c>
      <c r="BT18">
        <v>69.376693766937663</v>
      </c>
      <c r="BU18">
        <v>36.444444444444443</v>
      </c>
      <c r="BV18">
        <v>33.111111111111114</v>
      </c>
      <c r="BW18">
        <v>90.853658536585371</v>
      </c>
      <c r="BX18">
        <v>104.88888888888889</v>
      </c>
      <c r="BY18">
        <v>89.888888888888886</v>
      </c>
      <c r="BZ18">
        <v>85.699152542372886</v>
      </c>
      <c r="CA18">
        <v>42.222222222222221</v>
      </c>
      <c r="CB18">
        <v>21.444444444444443</v>
      </c>
      <c r="CC18">
        <v>50.789473684210527</v>
      </c>
      <c r="CD18">
        <v>47.666666666666664</v>
      </c>
      <c r="CE18">
        <v>30.666666666666668</v>
      </c>
      <c r="CF18">
        <v>64.335664335664333</v>
      </c>
      <c r="CG18">
        <v>63.888888888888886</v>
      </c>
      <c r="CH18">
        <v>44.777777777777779</v>
      </c>
      <c r="CI18">
        <v>70.086956521739125</v>
      </c>
      <c r="CJ18">
        <v>1.3333333333333333</v>
      </c>
      <c r="CK18">
        <v>0.33333333333333331</v>
      </c>
      <c r="CL18">
        <v>25</v>
      </c>
      <c r="CM18">
        <v>19.111111111111111</v>
      </c>
      <c r="CN18">
        <v>17.222222222222221</v>
      </c>
      <c r="CO18">
        <v>90.116279069767444</v>
      </c>
      <c r="CP18">
        <v>8.5555555555555554</v>
      </c>
      <c r="CQ18">
        <v>16.497777777777781</v>
      </c>
      <c r="CR18">
        <v>3.362222222222222</v>
      </c>
      <c r="CS18">
        <v>13.56</v>
      </c>
      <c r="CT18">
        <v>19.963333333333335</v>
      </c>
      <c r="CU18">
        <v>19.501111111111111</v>
      </c>
      <c r="CV18">
        <v>12.134444444444444</v>
      </c>
      <c r="CW18">
        <v>1.2222222222222223</v>
      </c>
      <c r="CX18">
        <v>1.0744444444444445</v>
      </c>
      <c r="CY18">
        <v>12</v>
      </c>
      <c r="CZ18">
        <v>4.7777777777777777</v>
      </c>
      <c r="DA18">
        <v>39.814814814814817</v>
      </c>
      <c r="DB18">
        <v>398.77777777777777</v>
      </c>
      <c r="DC18">
        <v>334.55555555555554</v>
      </c>
      <c r="DD18">
        <v>83.895235441627193</v>
      </c>
      <c r="DE18">
        <v>54.961111111111101</v>
      </c>
      <c r="DF18">
        <v>99.222222222222229</v>
      </c>
      <c r="DG18">
        <v>18.555555555555557</v>
      </c>
      <c r="DH18">
        <v>32.111111111111114</v>
      </c>
      <c r="DI18">
        <v>48.555555555555557</v>
      </c>
      <c r="DJ18">
        <v>71.777777777777771</v>
      </c>
      <c r="DK18">
        <v>34</v>
      </c>
      <c r="DL18">
        <v>27.444444444444443</v>
      </c>
      <c r="DM18">
        <v>10.333333333333334</v>
      </c>
      <c r="DN18">
        <v>161.11111111111111</v>
      </c>
      <c r="DO18">
        <v>73.222222222222229</v>
      </c>
      <c r="DP18">
        <v>45.448275862068968</v>
      </c>
      <c r="DQ18">
        <v>7.2222222222222223</v>
      </c>
      <c r="DR18">
        <v>2.2222222222222223</v>
      </c>
      <c r="DS18">
        <v>30.76923076923077</v>
      </c>
      <c r="DT18">
        <v>27.555555555555557</v>
      </c>
      <c r="DU18">
        <v>7.8888888888888893</v>
      </c>
      <c r="DV18">
        <v>28.62903225806452</v>
      </c>
      <c r="DW18">
        <v>1.5555555555555556</v>
      </c>
      <c r="DX18">
        <v>0.55555555555555558</v>
      </c>
      <c r="DY18">
        <v>35.714285714285715</v>
      </c>
      <c r="DZ18">
        <v>26.666666666666668</v>
      </c>
      <c r="EA18">
        <v>2.4444444444444446</v>
      </c>
      <c r="EB18">
        <v>9.1666666666666661</v>
      </c>
      <c r="EC18">
        <v>4.666666666666667</v>
      </c>
      <c r="ED18">
        <v>0.88888888888888884</v>
      </c>
      <c r="EE18">
        <v>19.047619047619047</v>
      </c>
      <c r="EF18">
        <v>3.5555555555555554</v>
      </c>
      <c r="EG18">
        <v>0.77777777777777779</v>
      </c>
      <c r="EH18">
        <v>21.875</v>
      </c>
      <c r="EI18">
        <v>0.1111111111111111</v>
      </c>
      <c r="EJ18">
        <v>0.1111111111111111</v>
      </c>
      <c r="EK18">
        <v>100</v>
      </c>
      <c r="EL18">
        <v>15.111111111111111</v>
      </c>
      <c r="EM18">
        <v>3.7777777777777777</v>
      </c>
      <c r="EN18">
        <v>25</v>
      </c>
      <c r="EO18">
        <v>3.8888888888888888</v>
      </c>
      <c r="EP18">
        <v>4.5555555555555554</v>
      </c>
      <c r="EQ18">
        <v>19.888888888888889</v>
      </c>
      <c r="ER18">
        <v>1.8888888888888888</v>
      </c>
      <c r="ES18">
        <v>10.111111111111111</v>
      </c>
      <c r="ET18">
        <v>10.333333333333334</v>
      </c>
      <c r="EU18">
        <v>59.777777777777779</v>
      </c>
      <c r="EV18">
        <v>20.888888888888889</v>
      </c>
      <c r="EW18">
        <v>34.944237918215613</v>
      </c>
      <c r="EX18">
        <v>1.5555555555555556</v>
      </c>
      <c r="EY18">
        <v>50.333333333333336</v>
      </c>
      <c r="EZ18">
        <v>32.111111111111114</v>
      </c>
      <c r="FA18">
        <v>63.796909492273734</v>
      </c>
      <c r="FB18">
        <v>28.444444444444443</v>
      </c>
      <c r="FC18">
        <v>10.777777777777779</v>
      </c>
      <c r="FD18">
        <v>37.890625</v>
      </c>
      <c r="FE18">
        <v>3</v>
      </c>
      <c r="FF18">
        <v>1.7777777777777777</v>
      </c>
      <c r="FG18">
        <v>59.259259259259252</v>
      </c>
      <c r="FH18">
        <v>35.666666666666664</v>
      </c>
      <c r="FI18">
        <v>16.333333333333332</v>
      </c>
      <c r="FJ18">
        <v>10.444444444444445</v>
      </c>
      <c r="FK18">
        <v>3.2222222222222223</v>
      </c>
      <c r="FL18">
        <v>0</v>
      </c>
      <c r="FM18">
        <v>136.44444444444446</v>
      </c>
      <c r="FN18">
        <v>106.44444444444444</v>
      </c>
      <c r="FO18">
        <v>78.013029315960907</v>
      </c>
      <c r="FP18">
        <v>58.888888888888886</v>
      </c>
      <c r="FQ18">
        <v>55.444444444444443</v>
      </c>
      <c r="FR18">
        <v>94.15094339622641</v>
      </c>
      <c r="FS18">
        <v>134.11111111111111</v>
      </c>
      <c r="FT18">
        <v>116.77777777777777</v>
      </c>
      <c r="FU18">
        <v>87.075393537696769</v>
      </c>
      <c r="FV18">
        <v>41.666666666666664</v>
      </c>
      <c r="FW18">
        <v>24.777777777777779</v>
      </c>
      <c r="FX18">
        <v>59.466666666666669</v>
      </c>
      <c r="FY18">
        <v>54.666666666666664</v>
      </c>
      <c r="FZ18">
        <v>40</v>
      </c>
      <c r="GA18">
        <v>73.170731707317074</v>
      </c>
      <c r="GB18">
        <v>68.666666666666671</v>
      </c>
      <c r="GC18">
        <v>51.666666666666664</v>
      </c>
      <c r="GD18">
        <v>75.242718446601941</v>
      </c>
      <c r="GE18">
        <v>0.66666666666666663</v>
      </c>
      <c r="GF18">
        <v>0.33333333333333331</v>
      </c>
      <c r="GG18">
        <v>50</v>
      </c>
      <c r="GH18">
        <v>18.555555555555557</v>
      </c>
      <c r="GI18">
        <v>16.333333333333332</v>
      </c>
      <c r="GJ18">
        <v>88.023952095808383</v>
      </c>
      <c r="GK18">
        <v>9.3333333333333339</v>
      </c>
      <c r="GL18">
        <v>16.337777777777781</v>
      </c>
      <c r="GM18">
        <v>3.9966666666666666</v>
      </c>
      <c r="GN18">
        <v>10.925555555555555</v>
      </c>
      <c r="GO18">
        <v>21.46222222222222</v>
      </c>
      <c r="GP18">
        <v>19.074444444444442</v>
      </c>
      <c r="GQ18">
        <v>10.384444444444446</v>
      </c>
      <c r="GR18">
        <f t="shared" si="2"/>
        <v>1.481111111111111</v>
      </c>
      <c r="GS18">
        <f t="shared" si="3"/>
        <v>0.9900000000000001</v>
      </c>
      <c r="GT18">
        <f t="shared" si="4"/>
        <v>-0.20555555555555549</v>
      </c>
      <c r="GU18">
        <f t="shared" si="5"/>
        <v>0.14777777777777779</v>
      </c>
      <c r="GV18">
        <f t="shared" si="6"/>
        <v>6.7777777777777777</v>
      </c>
      <c r="GW18">
        <f t="shared" si="7"/>
        <v>4.7777777777777777</v>
      </c>
      <c r="GX18" s="2">
        <f t="shared" si="8"/>
        <v>0.48371335504885987</v>
      </c>
      <c r="GY18" s="2">
        <f t="shared" si="9"/>
        <v>0.37133550488599343</v>
      </c>
      <c r="GZ18" s="2">
        <f t="shared" si="10"/>
        <v>0.14495114006514656</v>
      </c>
      <c r="HA18">
        <f t="shared" si="11"/>
        <v>0.12172131147540984</v>
      </c>
      <c r="HB18">
        <f t="shared" si="12"/>
        <v>8.953703703703704E-2</v>
      </c>
    </row>
    <row r="19" spans="1:210" x14ac:dyDescent="0.2">
      <c r="A19" t="s">
        <v>128</v>
      </c>
      <c r="B19">
        <v>1.7777777777777777</v>
      </c>
      <c r="C19">
        <v>1.6255555555555556</v>
      </c>
      <c r="D19">
        <v>13.888888888888889</v>
      </c>
      <c r="E19">
        <v>6.2222222222222223</v>
      </c>
      <c r="F19">
        <v>44.800000000000004</v>
      </c>
      <c r="G19">
        <v>424.44444444444446</v>
      </c>
      <c r="H19">
        <v>360</v>
      </c>
      <c r="I19">
        <v>84.816753926701566</v>
      </c>
      <c r="J19">
        <v>53.272222222222219</v>
      </c>
      <c r="K19">
        <v>89</v>
      </c>
      <c r="L19">
        <v>15.444444444444445</v>
      </c>
      <c r="M19">
        <v>26.444444444444443</v>
      </c>
      <c r="N19">
        <v>47.111111111111114</v>
      </c>
      <c r="O19">
        <v>68.666666666666671</v>
      </c>
      <c r="P19">
        <v>31.555555555555557</v>
      </c>
      <c r="Q19">
        <v>23.777777777777779</v>
      </c>
      <c r="R19">
        <v>13.333333333333334</v>
      </c>
      <c r="S19">
        <v>153.22222222222223</v>
      </c>
      <c r="T19">
        <v>74</v>
      </c>
      <c r="U19">
        <v>48.295866569978244</v>
      </c>
      <c r="V19">
        <v>6.2222222222222223</v>
      </c>
      <c r="W19">
        <v>2</v>
      </c>
      <c r="X19">
        <v>32.142857142857146</v>
      </c>
      <c r="Y19">
        <v>32.777777777777779</v>
      </c>
      <c r="Z19">
        <v>9.8888888888888893</v>
      </c>
      <c r="AA19">
        <v>30.16949152542373</v>
      </c>
      <c r="AB19">
        <v>0.55555555555555558</v>
      </c>
      <c r="AC19">
        <v>0.22222222222222221</v>
      </c>
      <c r="AD19">
        <v>40</v>
      </c>
      <c r="AE19">
        <v>26.555555555555557</v>
      </c>
      <c r="AF19">
        <v>3.2222222222222223</v>
      </c>
      <c r="AG19">
        <v>12.133891213389122</v>
      </c>
      <c r="AH19">
        <v>6.8888888888888893</v>
      </c>
      <c r="AI19">
        <v>1.6666666666666667</v>
      </c>
      <c r="AJ19">
        <v>24.193548387096776</v>
      </c>
      <c r="AK19">
        <v>2.3333333333333335</v>
      </c>
      <c r="AL19">
        <v>0.1111111111111111</v>
      </c>
      <c r="AM19">
        <v>4.7619047619047619</v>
      </c>
      <c r="AN19">
        <v>0.22222222222222221</v>
      </c>
      <c r="AO19">
        <v>0.22222222222222221</v>
      </c>
      <c r="AP19">
        <v>100</v>
      </c>
      <c r="AQ19">
        <v>16</v>
      </c>
      <c r="AR19">
        <v>4.5555555555555554</v>
      </c>
      <c r="AS19">
        <v>28.472222222222221</v>
      </c>
      <c r="AT19">
        <v>4.1111111111111107</v>
      </c>
      <c r="AU19">
        <v>11.222222222222221</v>
      </c>
      <c r="AV19">
        <v>27.666666666666668</v>
      </c>
      <c r="AW19">
        <v>6.5555555555555554</v>
      </c>
      <c r="AX19">
        <v>8.8888888888888893</v>
      </c>
      <c r="AY19">
        <v>23.222222222222221</v>
      </c>
      <c r="AZ19">
        <v>58.555555555555557</v>
      </c>
      <c r="BA19">
        <v>23.777777777777779</v>
      </c>
      <c r="BB19">
        <v>40.60721062618596</v>
      </c>
      <c r="BC19">
        <v>2.2222222222222223</v>
      </c>
      <c r="BD19">
        <v>53.666666666666664</v>
      </c>
      <c r="BE19">
        <v>32.666666666666664</v>
      </c>
      <c r="BF19">
        <v>60.869565217391312</v>
      </c>
      <c r="BG19">
        <v>21.888888888888889</v>
      </c>
      <c r="BH19">
        <v>9.8888888888888893</v>
      </c>
      <c r="BI19">
        <v>45.17766497461929</v>
      </c>
      <c r="BJ19">
        <v>3</v>
      </c>
      <c r="BK19">
        <v>1.7777777777777777</v>
      </c>
      <c r="BL19">
        <v>59.259259259259252</v>
      </c>
      <c r="BM19">
        <v>32.444444444444443</v>
      </c>
      <c r="BN19">
        <v>12.666666666666666</v>
      </c>
      <c r="BO19">
        <v>11.444444444444445</v>
      </c>
      <c r="BP19">
        <v>3.3333333333333335</v>
      </c>
      <c r="BQ19">
        <v>0</v>
      </c>
      <c r="BR19">
        <v>144.44444444444446</v>
      </c>
      <c r="BS19">
        <v>114.66666666666667</v>
      </c>
      <c r="BT19">
        <v>79.384615384615387</v>
      </c>
      <c r="BU19">
        <v>65.888888888888886</v>
      </c>
      <c r="BV19">
        <v>61.333333333333336</v>
      </c>
      <c r="BW19">
        <v>93.086003372681276</v>
      </c>
      <c r="BX19">
        <v>143.77777777777777</v>
      </c>
      <c r="BY19">
        <v>127</v>
      </c>
      <c r="BZ19">
        <v>88.330757341576501</v>
      </c>
      <c r="CA19">
        <v>38.666666666666664</v>
      </c>
      <c r="CB19">
        <v>20.777777777777779</v>
      </c>
      <c r="CC19">
        <v>53.735632183908045</v>
      </c>
      <c r="CD19">
        <v>56.111111111111114</v>
      </c>
      <c r="CE19">
        <v>44.444444444444443</v>
      </c>
      <c r="CF19">
        <v>79.207920792079207</v>
      </c>
      <c r="CG19">
        <v>67.222222222222229</v>
      </c>
      <c r="CH19">
        <v>52</v>
      </c>
      <c r="CI19">
        <v>77.355371900826441</v>
      </c>
      <c r="CJ19">
        <v>2.4444444444444446</v>
      </c>
      <c r="CK19">
        <v>1.2222222222222223</v>
      </c>
      <c r="CL19">
        <v>50</v>
      </c>
      <c r="CM19">
        <v>14.555555555555555</v>
      </c>
      <c r="CN19">
        <v>13.888888888888889</v>
      </c>
      <c r="CO19">
        <v>95.419847328244273</v>
      </c>
      <c r="CP19">
        <v>8</v>
      </c>
      <c r="CQ19">
        <v>16.713333333333331</v>
      </c>
      <c r="CR19">
        <v>4.41</v>
      </c>
      <c r="CS19">
        <v>9.4711111111111119</v>
      </c>
      <c r="CT19">
        <v>19.438888888888886</v>
      </c>
      <c r="CU19">
        <v>18.989999999999998</v>
      </c>
      <c r="CV19">
        <v>11.626666666666667</v>
      </c>
      <c r="CW19">
        <v>1.1111111111111112</v>
      </c>
      <c r="CX19">
        <v>1.1100000000000003</v>
      </c>
      <c r="CY19">
        <v>12.666666666666666</v>
      </c>
      <c r="CZ19">
        <v>4.666666666666667</v>
      </c>
      <c r="DA19">
        <v>36.84210526315789</v>
      </c>
      <c r="DB19">
        <v>348.88888888888891</v>
      </c>
      <c r="DC19">
        <v>288.33333333333331</v>
      </c>
      <c r="DD19">
        <v>82.643312101910823</v>
      </c>
      <c r="DE19">
        <v>46.727777777777781</v>
      </c>
      <c r="DF19">
        <v>92.666666666666671</v>
      </c>
      <c r="DG19">
        <v>20.666666666666668</v>
      </c>
      <c r="DH19">
        <v>26.222222222222221</v>
      </c>
      <c r="DI19">
        <v>45.777777777777779</v>
      </c>
      <c r="DJ19">
        <v>63.555555555555557</v>
      </c>
      <c r="DK19">
        <v>33.222222222222221</v>
      </c>
      <c r="DL19">
        <v>22.222222222222221</v>
      </c>
      <c r="DM19">
        <v>8.1111111111111107</v>
      </c>
      <c r="DN19">
        <v>153.22222222222223</v>
      </c>
      <c r="DO19">
        <v>74</v>
      </c>
      <c r="DP19">
        <v>48.295866569978244</v>
      </c>
      <c r="DQ19">
        <v>7.5555555555555554</v>
      </c>
      <c r="DR19">
        <v>2</v>
      </c>
      <c r="DS19">
        <v>26.47058823529412</v>
      </c>
      <c r="DT19">
        <v>27.777777777777779</v>
      </c>
      <c r="DU19">
        <v>8</v>
      </c>
      <c r="DV19">
        <v>28.799999999999997</v>
      </c>
      <c r="DW19">
        <v>0.88888888888888884</v>
      </c>
      <c r="DX19">
        <v>0.22222222222222221</v>
      </c>
      <c r="DY19">
        <v>25</v>
      </c>
      <c r="DZ19">
        <v>22.888888888888889</v>
      </c>
      <c r="EA19">
        <v>3.5555555555555554</v>
      </c>
      <c r="EB19">
        <v>15.53398058252427</v>
      </c>
      <c r="EC19">
        <v>3.5555555555555554</v>
      </c>
      <c r="ED19">
        <v>1.1111111111111112</v>
      </c>
      <c r="EE19">
        <v>31.25</v>
      </c>
      <c r="EF19">
        <v>2.2222222222222223</v>
      </c>
      <c r="EG19">
        <v>0.77777777777777779</v>
      </c>
      <c r="EH19">
        <v>35</v>
      </c>
      <c r="EI19">
        <v>0.22222222222222221</v>
      </c>
      <c r="EJ19">
        <v>0.22222222222222221</v>
      </c>
      <c r="EK19">
        <v>100</v>
      </c>
      <c r="EL19">
        <v>12.222222222222221</v>
      </c>
      <c r="EM19">
        <v>3.6666666666666665</v>
      </c>
      <c r="EN19">
        <v>30</v>
      </c>
      <c r="EO19">
        <v>3.4444444444444446</v>
      </c>
      <c r="EP19">
        <v>6.1111111111111107</v>
      </c>
      <c r="EQ19">
        <v>19.666666666666668</v>
      </c>
      <c r="ER19">
        <v>2.7777777777777777</v>
      </c>
      <c r="ES19">
        <v>6.666666666666667</v>
      </c>
      <c r="ET19">
        <v>13.444444444444445</v>
      </c>
      <c r="EU19">
        <v>53.666666666666664</v>
      </c>
      <c r="EV19">
        <v>21</v>
      </c>
      <c r="EW19">
        <v>39.130434782608695</v>
      </c>
      <c r="EX19">
        <v>2.4444444444444446</v>
      </c>
      <c r="EY19">
        <v>58.555555555555557</v>
      </c>
      <c r="EZ19">
        <v>34.777777777777779</v>
      </c>
      <c r="FA19">
        <v>59.39278937381404</v>
      </c>
      <c r="FB19">
        <v>21.888888888888889</v>
      </c>
      <c r="FC19">
        <v>9.4444444444444446</v>
      </c>
      <c r="FD19">
        <v>43.147208121827411</v>
      </c>
      <c r="FE19">
        <v>2.4444444444444446</v>
      </c>
      <c r="FF19">
        <v>1.4444444444444444</v>
      </c>
      <c r="FG19">
        <v>59.090909090909093</v>
      </c>
      <c r="FH19">
        <v>38.555555555555557</v>
      </c>
      <c r="FI19">
        <v>14.888888888888889</v>
      </c>
      <c r="FJ19">
        <v>10.444444444444445</v>
      </c>
      <c r="FK19">
        <v>2.8888888888888888</v>
      </c>
      <c r="FL19">
        <v>0.33333333333333331</v>
      </c>
      <c r="FM19">
        <v>125.44444444444444</v>
      </c>
      <c r="FN19">
        <v>94.111111111111114</v>
      </c>
      <c r="FO19">
        <v>75.022143489813999</v>
      </c>
      <c r="FP19">
        <v>48.111111111111114</v>
      </c>
      <c r="FQ19">
        <v>45.777777777777779</v>
      </c>
      <c r="FR19">
        <v>95.150115473441105</v>
      </c>
      <c r="FS19">
        <v>113.33333333333333</v>
      </c>
      <c r="FT19">
        <v>96.111111111111114</v>
      </c>
      <c r="FU19">
        <v>84.803921568627445</v>
      </c>
      <c r="FV19">
        <v>34.777777777777779</v>
      </c>
      <c r="FW19">
        <v>17.777777777777779</v>
      </c>
      <c r="FX19">
        <v>51.118210862619804</v>
      </c>
      <c r="FY19">
        <v>49.222222222222221</v>
      </c>
      <c r="FZ19">
        <v>34.444444444444443</v>
      </c>
      <c r="GA19">
        <v>69.97742663656885</v>
      </c>
      <c r="GB19">
        <v>60.222222222222221</v>
      </c>
      <c r="GC19">
        <v>42.888888888888886</v>
      </c>
      <c r="GD19">
        <v>71.217712177121768</v>
      </c>
      <c r="GE19">
        <v>1.8888888888888888</v>
      </c>
      <c r="GF19">
        <v>0.77777777777777779</v>
      </c>
      <c r="GG19">
        <v>41.17647058823529</v>
      </c>
      <c r="GH19">
        <v>17.222222222222221</v>
      </c>
      <c r="GI19">
        <v>15.444444444444445</v>
      </c>
      <c r="GJ19">
        <v>89.677419354838705</v>
      </c>
      <c r="GK19">
        <v>6.666666666666667</v>
      </c>
      <c r="GL19">
        <v>15.483333333333336</v>
      </c>
      <c r="GM19">
        <v>3.67</v>
      </c>
      <c r="GN19">
        <v>10.941111111111113</v>
      </c>
      <c r="GO19">
        <v>22.94222222222222</v>
      </c>
      <c r="GP19">
        <v>18.803333333333331</v>
      </c>
      <c r="GQ19">
        <v>12.876666666666665</v>
      </c>
      <c r="GR19">
        <f t="shared" si="2"/>
        <v>1.4566666666666668</v>
      </c>
      <c r="GS19">
        <f t="shared" si="3"/>
        <v>0.94111111111111145</v>
      </c>
      <c r="GT19">
        <f t="shared" si="4"/>
        <v>0.15222222222222204</v>
      </c>
      <c r="GU19">
        <f t="shared" si="5"/>
        <v>1.1111111111108407E-3</v>
      </c>
      <c r="GV19">
        <f t="shared" si="6"/>
        <v>7.666666666666667</v>
      </c>
      <c r="GW19">
        <f t="shared" si="7"/>
        <v>5.1111111111111107</v>
      </c>
      <c r="GX19" s="2">
        <f t="shared" si="8"/>
        <v>0.45954692556634302</v>
      </c>
      <c r="GY19" s="2">
        <f t="shared" si="9"/>
        <v>0.34627831715210355</v>
      </c>
      <c r="GZ19" s="2">
        <f t="shared" si="10"/>
        <v>0.1941747572815534</v>
      </c>
      <c r="HA19">
        <f t="shared" si="11"/>
        <v>0.11704000000000001</v>
      </c>
      <c r="HB19">
        <f t="shared" si="12"/>
        <v>8.7631578947368449E-2</v>
      </c>
    </row>
    <row r="20" spans="1:210" x14ac:dyDescent="0.2">
      <c r="A20" t="s">
        <v>129</v>
      </c>
      <c r="B20">
        <v>1.1111111111111112</v>
      </c>
      <c r="C20">
        <v>1.48</v>
      </c>
      <c r="D20">
        <v>13.888888888888889</v>
      </c>
      <c r="E20">
        <v>5.333333333333333</v>
      </c>
      <c r="F20">
        <v>38.4</v>
      </c>
      <c r="G20">
        <v>369.66666666666669</v>
      </c>
      <c r="H20">
        <v>304</v>
      </c>
      <c r="I20">
        <v>82.236248872858425</v>
      </c>
      <c r="J20">
        <v>49.396666666666675</v>
      </c>
      <c r="K20">
        <v>98.666666666666671</v>
      </c>
      <c r="L20">
        <v>14.666666666666666</v>
      </c>
      <c r="M20">
        <v>31.555555555555557</v>
      </c>
      <c r="N20">
        <v>52.444444444444443</v>
      </c>
      <c r="O20">
        <v>66.777777777777771</v>
      </c>
      <c r="P20">
        <v>25.666666666666668</v>
      </c>
      <c r="Q20">
        <v>28.888888888888889</v>
      </c>
      <c r="R20">
        <v>12.222222222222221</v>
      </c>
      <c r="S20">
        <v>152</v>
      </c>
      <c r="T20">
        <v>75.888888888888886</v>
      </c>
      <c r="U20">
        <v>49.92690058479532</v>
      </c>
      <c r="V20">
        <v>6.666666666666667</v>
      </c>
      <c r="W20">
        <v>2.2222222222222223</v>
      </c>
      <c r="X20">
        <v>33.333333333333329</v>
      </c>
      <c r="Y20">
        <v>28.111111111111111</v>
      </c>
      <c r="Z20">
        <v>7.666666666666667</v>
      </c>
      <c r="AA20">
        <v>27.27272727272727</v>
      </c>
      <c r="AB20">
        <v>0.77777777777777779</v>
      </c>
      <c r="AC20">
        <v>0.44444444444444442</v>
      </c>
      <c r="AD20">
        <v>57.142857142857139</v>
      </c>
      <c r="AE20">
        <v>25.111111111111111</v>
      </c>
      <c r="AF20">
        <v>4.666666666666667</v>
      </c>
      <c r="AG20">
        <v>18.584070796460178</v>
      </c>
      <c r="AH20">
        <v>5.1111111111111107</v>
      </c>
      <c r="AI20">
        <v>1.5555555555555556</v>
      </c>
      <c r="AJ20">
        <v>30.434782608695656</v>
      </c>
      <c r="AK20">
        <v>3.5555555555555554</v>
      </c>
      <c r="AL20">
        <v>1</v>
      </c>
      <c r="AM20">
        <v>28.125</v>
      </c>
      <c r="AN20">
        <v>0</v>
      </c>
      <c r="AO20">
        <v>0</v>
      </c>
      <c r="AP20">
        <v>0</v>
      </c>
      <c r="AQ20">
        <v>16.111111111111111</v>
      </c>
      <c r="AR20">
        <v>6</v>
      </c>
      <c r="AS20">
        <v>37.241379310344833</v>
      </c>
      <c r="AT20">
        <v>5.5555555555555554</v>
      </c>
      <c r="AU20">
        <v>5.666666666666667</v>
      </c>
      <c r="AV20">
        <v>22.666666666666668</v>
      </c>
      <c r="AW20">
        <v>1.6666666666666667</v>
      </c>
      <c r="AX20">
        <v>11</v>
      </c>
      <c r="AY20">
        <v>15</v>
      </c>
      <c r="AZ20">
        <v>51.111111111111114</v>
      </c>
      <c r="BA20">
        <v>22.111111111111111</v>
      </c>
      <c r="BB20">
        <v>43.260869565217391</v>
      </c>
      <c r="BC20">
        <v>1</v>
      </c>
      <c r="BD20">
        <v>48.888888888888886</v>
      </c>
      <c r="BE20">
        <v>30</v>
      </c>
      <c r="BF20">
        <v>61.363636363636367</v>
      </c>
      <c r="BG20">
        <v>29.888888888888889</v>
      </c>
      <c r="BH20">
        <v>12.888888888888889</v>
      </c>
      <c r="BI20">
        <v>43.122676579925653</v>
      </c>
      <c r="BJ20">
        <v>2.8888888888888888</v>
      </c>
      <c r="BK20">
        <v>1.6666666666666667</v>
      </c>
      <c r="BL20">
        <v>57.692307692307686</v>
      </c>
      <c r="BM20">
        <v>31.444444444444443</v>
      </c>
      <c r="BN20">
        <v>11.222222222222221</v>
      </c>
      <c r="BO20">
        <v>12.111111111111111</v>
      </c>
      <c r="BP20">
        <v>2.7777777777777777</v>
      </c>
      <c r="BQ20">
        <v>0.22222222222222221</v>
      </c>
      <c r="BR20">
        <v>129.88888888888889</v>
      </c>
      <c r="BS20">
        <v>97.222222222222229</v>
      </c>
      <c r="BT20">
        <v>74.850299401197603</v>
      </c>
      <c r="BU20">
        <v>47.777777777777779</v>
      </c>
      <c r="BV20">
        <v>44</v>
      </c>
      <c r="BW20">
        <v>92.093023255813961</v>
      </c>
      <c r="BX20">
        <v>129.33333333333334</v>
      </c>
      <c r="BY20">
        <v>112.88888888888889</v>
      </c>
      <c r="BZ20">
        <v>87.285223367697597</v>
      </c>
      <c r="CA20">
        <v>34.333333333333336</v>
      </c>
      <c r="CB20">
        <v>18.333333333333332</v>
      </c>
      <c r="CC20">
        <v>53.398058252427184</v>
      </c>
      <c r="CD20">
        <v>56.111111111111114</v>
      </c>
      <c r="CE20">
        <v>41.222222222222221</v>
      </c>
      <c r="CF20">
        <v>73.465346534653463</v>
      </c>
      <c r="CG20">
        <v>64.777777777777771</v>
      </c>
      <c r="CH20">
        <v>49</v>
      </c>
      <c r="CI20">
        <v>75.643224699828465</v>
      </c>
      <c r="CJ20">
        <v>0.88888888888888884</v>
      </c>
      <c r="CK20">
        <v>0.55555555555555558</v>
      </c>
      <c r="CL20">
        <v>62.5</v>
      </c>
      <c r="CM20">
        <v>19.555555555555557</v>
      </c>
      <c r="CN20">
        <v>17.111111111111111</v>
      </c>
      <c r="CO20">
        <v>87.5</v>
      </c>
      <c r="CP20">
        <v>8.6666666666666661</v>
      </c>
      <c r="CQ20">
        <v>15.981111111111112</v>
      </c>
      <c r="CR20">
        <v>3.8688888888888888</v>
      </c>
      <c r="CS20">
        <v>10.143333333333334</v>
      </c>
      <c r="CT20">
        <v>19.972222222222221</v>
      </c>
      <c r="CU20">
        <v>19.431111111111115</v>
      </c>
      <c r="CV20">
        <v>10.204444444444443</v>
      </c>
      <c r="CW20">
        <v>1.3333333333333333</v>
      </c>
      <c r="CX20">
        <v>1.0055555555555555</v>
      </c>
      <c r="CY20">
        <v>10.666666666666666</v>
      </c>
      <c r="CZ20">
        <v>3.6666666666666665</v>
      </c>
      <c r="DA20">
        <v>34.375</v>
      </c>
      <c r="DB20">
        <v>387</v>
      </c>
      <c r="DC20">
        <v>324.55555555555554</v>
      </c>
      <c r="DD20">
        <v>83.864484639678437</v>
      </c>
      <c r="DE20">
        <v>50.603333333333325</v>
      </c>
      <c r="DF20">
        <v>95.444444444444443</v>
      </c>
      <c r="DG20">
        <v>21.666666666666668</v>
      </c>
      <c r="DH20">
        <v>34.555555555555557</v>
      </c>
      <c r="DI20">
        <v>39.222222222222221</v>
      </c>
      <c r="DJ20">
        <v>72.333333333333329</v>
      </c>
      <c r="DK20">
        <v>36.888888888888886</v>
      </c>
      <c r="DL20">
        <v>27.333333333333332</v>
      </c>
      <c r="DM20">
        <v>8.1111111111111107</v>
      </c>
      <c r="DN20">
        <v>152</v>
      </c>
      <c r="DO20">
        <v>69</v>
      </c>
      <c r="DP20">
        <v>45.394736842105267</v>
      </c>
      <c r="DQ20">
        <v>5.8888888888888893</v>
      </c>
      <c r="DR20">
        <v>1.2222222222222223</v>
      </c>
      <c r="DS20">
        <v>20.754716981132077</v>
      </c>
      <c r="DT20">
        <v>26.111111111111111</v>
      </c>
      <c r="DU20">
        <v>7.2222222222222223</v>
      </c>
      <c r="DV20">
        <v>27.659574468085108</v>
      </c>
      <c r="DW20">
        <v>0.66666666666666663</v>
      </c>
      <c r="DX20">
        <v>0</v>
      </c>
      <c r="DY20">
        <v>0</v>
      </c>
      <c r="DZ20">
        <v>22.111111111111111</v>
      </c>
      <c r="EA20">
        <v>2.5555555555555554</v>
      </c>
      <c r="EB20">
        <v>11.557788944723619</v>
      </c>
      <c r="EC20">
        <v>2.7777777777777777</v>
      </c>
      <c r="ED20">
        <v>0.33333333333333331</v>
      </c>
      <c r="EE20">
        <v>12</v>
      </c>
      <c r="EF20">
        <v>2.4444444444444446</v>
      </c>
      <c r="EG20">
        <v>0.66666666666666663</v>
      </c>
      <c r="EH20">
        <v>27.27272727272727</v>
      </c>
      <c r="EI20">
        <v>0.22222222222222221</v>
      </c>
      <c r="EJ20">
        <v>0.22222222222222221</v>
      </c>
      <c r="EK20">
        <v>100</v>
      </c>
      <c r="EL20">
        <v>11.222222222222221</v>
      </c>
      <c r="EM20">
        <v>3.4444444444444446</v>
      </c>
      <c r="EN20">
        <v>30.693069306930692</v>
      </c>
      <c r="EO20">
        <v>3.4444444444444446</v>
      </c>
      <c r="EP20">
        <v>5.666666666666667</v>
      </c>
      <c r="EQ20">
        <v>19.666666666666668</v>
      </c>
      <c r="ER20">
        <v>2.5555555555555554</v>
      </c>
      <c r="ES20">
        <v>7.333333333333333</v>
      </c>
      <c r="ET20">
        <v>12.111111111111111</v>
      </c>
      <c r="EU20">
        <v>48.888888888888886</v>
      </c>
      <c r="EV20">
        <v>18.888888888888889</v>
      </c>
      <c r="EW20">
        <v>38.636363636363633</v>
      </c>
      <c r="EX20">
        <v>1.4444444444444444</v>
      </c>
      <c r="EY20">
        <v>51.111111111111114</v>
      </c>
      <c r="EZ20">
        <v>29</v>
      </c>
      <c r="FA20">
        <v>56.739130434782616</v>
      </c>
      <c r="FB20">
        <v>29.888888888888889</v>
      </c>
      <c r="FC20">
        <v>12.777777777777779</v>
      </c>
      <c r="FD20">
        <v>42.750929368029738</v>
      </c>
      <c r="FE20">
        <v>3.1111111111111112</v>
      </c>
      <c r="FF20">
        <v>1.7777777777777777</v>
      </c>
      <c r="FG20">
        <v>57.142857142857139</v>
      </c>
      <c r="FH20">
        <v>37.333333333333336</v>
      </c>
      <c r="FI20">
        <v>17.888888888888889</v>
      </c>
      <c r="FJ20">
        <v>11.555555555555555</v>
      </c>
      <c r="FK20">
        <v>3.1111111111111112</v>
      </c>
      <c r="FL20">
        <v>0.1111111111111111</v>
      </c>
      <c r="FM20">
        <v>136.22222222222223</v>
      </c>
      <c r="FN20">
        <v>102</v>
      </c>
      <c r="FO20">
        <v>74.877650897226758</v>
      </c>
      <c r="FP20">
        <v>62.888888888888886</v>
      </c>
      <c r="FQ20">
        <v>59.444444444444443</v>
      </c>
      <c r="FR20">
        <v>94.522968197879862</v>
      </c>
      <c r="FS20">
        <v>130.33333333333334</v>
      </c>
      <c r="FT20">
        <v>114.77777777777777</v>
      </c>
      <c r="FU20">
        <v>88.064791133844849</v>
      </c>
      <c r="FV20">
        <v>40.444444444444443</v>
      </c>
      <c r="FW20">
        <v>23.111111111111111</v>
      </c>
      <c r="FX20">
        <v>57.142857142857139</v>
      </c>
      <c r="FY20">
        <v>53.777777777777779</v>
      </c>
      <c r="FZ20">
        <v>39.888888888888886</v>
      </c>
      <c r="GA20">
        <v>74.173553719008268</v>
      </c>
      <c r="GB20">
        <v>69.333333333333329</v>
      </c>
      <c r="GC20">
        <v>50.888888888888886</v>
      </c>
      <c r="GD20">
        <v>73.397435897435898</v>
      </c>
      <c r="GE20">
        <v>1.6666666666666667</v>
      </c>
      <c r="GF20">
        <v>0.77777777777777779</v>
      </c>
      <c r="GG20">
        <v>46.666666666666664</v>
      </c>
      <c r="GH20">
        <v>16</v>
      </c>
      <c r="GI20">
        <v>13.888888888888889</v>
      </c>
      <c r="GJ20">
        <v>86.805555555555557</v>
      </c>
      <c r="GK20">
        <v>8.3333333333333339</v>
      </c>
      <c r="GL20">
        <v>16.238888888888891</v>
      </c>
      <c r="GM20">
        <v>4.0644444444444439</v>
      </c>
      <c r="GN20">
        <v>11.163333333333334</v>
      </c>
      <c r="GO20">
        <v>23.292222222222222</v>
      </c>
      <c r="GP20">
        <v>19.77</v>
      </c>
      <c r="GQ20">
        <v>12.583333333333334</v>
      </c>
      <c r="GR20">
        <f t="shared" si="2"/>
        <v>1.48</v>
      </c>
      <c r="GS20">
        <f t="shared" si="3"/>
        <v>0.83666666666666667</v>
      </c>
      <c r="GT20">
        <f t="shared" si="4"/>
        <v>-0.36888888888888882</v>
      </c>
      <c r="GU20">
        <f t="shared" si="5"/>
        <v>0.32777777777777772</v>
      </c>
      <c r="GV20">
        <f t="shared" si="6"/>
        <v>7.2222222222222223</v>
      </c>
      <c r="GW20">
        <f t="shared" si="7"/>
        <v>4.7777777777777768</v>
      </c>
      <c r="GX20" s="2">
        <f t="shared" si="8"/>
        <v>0.38435940099833615</v>
      </c>
      <c r="GY20" s="2">
        <f t="shared" si="9"/>
        <v>0.43261231281198009</v>
      </c>
      <c r="GZ20" s="2">
        <f t="shared" si="10"/>
        <v>0.18302828618968386</v>
      </c>
      <c r="HA20">
        <f t="shared" si="11"/>
        <v>0.10656</v>
      </c>
      <c r="HB20">
        <f t="shared" si="12"/>
        <v>9.4270833333333331E-2</v>
      </c>
    </row>
    <row r="21" spans="1:210" x14ac:dyDescent="0.2">
      <c r="A21" t="s">
        <v>130</v>
      </c>
      <c r="B21">
        <v>1.2222222222222223</v>
      </c>
      <c r="C21">
        <v>1.3366666666666669</v>
      </c>
      <c r="D21">
        <v>11.777777777777779</v>
      </c>
      <c r="E21">
        <v>3.7777777777777777</v>
      </c>
      <c r="F21">
        <v>32.075471698113205</v>
      </c>
      <c r="G21">
        <v>415.44444444444446</v>
      </c>
      <c r="H21">
        <v>353.55555555555554</v>
      </c>
      <c r="I21">
        <v>85.102968708210753</v>
      </c>
      <c r="J21">
        <v>51.187777777777775</v>
      </c>
      <c r="K21">
        <v>96.333333333333329</v>
      </c>
      <c r="L21">
        <v>19.666666666666668</v>
      </c>
      <c r="M21">
        <v>31.333333333333332</v>
      </c>
      <c r="N21">
        <v>45.333333333333336</v>
      </c>
      <c r="O21">
        <v>69.777777777777771</v>
      </c>
      <c r="P21">
        <v>31.777777777777779</v>
      </c>
      <c r="Q21">
        <v>28.222222222222221</v>
      </c>
      <c r="R21">
        <v>9.7777777777777786</v>
      </c>
      <c r="S21">
        <v>162</v>
      </c>
      <c r="T21">
        <v>79.777777777777771</v>
      </c>
      <c r="U21">
        <v>49.245541838134429</v>
      </c>
      <c r="V21">
        <v>6</v>
      </c>
      <c r="W21">
        <v>1.2222222222222223</v>
      </c>
      <c r="X21">
        <v>20.37037037037037</v>
      </c>
      <c r="Y21">
        <v>28.444444444444443</v>
      </c>
      <c r="Z21">
        <v>8</v>
      </c>
      <c r="AA21">
        <v>28.125</v>
      </c>
      <c r="AB21">
        <v>0.66666666666666663</v>
      </c>
      <c r="AC21">
        <v>0.22222222222222221</v>
      </c>
      <c r="AD21">
        <v>33.333333333333329</v>
      </c>
      <c r="AE21">
        <v>24.666666666666668</v>
      </c>
      <c r="AF21">
        <v>2.6666666666666665</v>
      </c>
      <c r="AG21">
        <v>10.810810810810811</v>
      </c>
      <c r="AH21">
        <v>5.333333333333333</v>
      </c>
      <c r="AI21">
        <v>1.5555555555555556</v>
      </c>
      <c r="AJ21">
        <v>29.166666666666668</v>
      </c>
      <c r="AK21">
        <v>1.7777777777777777</v>
      </c>
      <c r="AL21">
        <v>0.22222222222222221</v>
      </c>
      <c r="AM21">
        <v>12.5</v>
      </c>
      <c r="AN21">
        <v>0.22222222222222221</v>
      </c>
      <c r="AO21">
        <v>0.22222222222222221</v>
      </c>
      <c r="AP21">
        <v>100</v>
      </c>
      <c r="AQ21">
        <v>8.8888888888888893</v>
      </c>
      <c r="AR21">
        <v>2.5555555555555554</v>
      </c>
      <c r="AS21">
        <v>28.749999999999996</v>
      </c>
      <c r="AT21">
        <v>2.1111111111111112</v>
      </c>
      <c r="AU21">
        <v>8.8888888888888893</v>
      </c>
      <c r="AV21">
        <v>18.666666666666668</v>
      </c>
      <c r="AW21">
        <v>2.6666666666666665</v>
      </c>
      <c r="AX21">
        <v>4.5555555555555554</v>
      </c>
      <c r="AY21">
        <v>14.888888888888889</v>
      </c>
      <c r="AZ21">
        <v>54.111111111111114</v>
      </c>
      <c r="BA21">
        <v>21.444444444444443</v>
      </c>
      <c r="BB21">
        <v>39.630390143737166</v>
      </c>
      <c r="BC21">
        <v>1.4444444444444444</v>
      </c>
      <c r="BD21">
        <v>57.222222222222221</v>
      </c>
      <c r="BE21">
        <v>37.555555555555557</v>
      </c>
      <c r="BF21">
        <v>65.631067961165044</v>
      </c>
      <c r="BG21">
        <v>27.444444444444443</v>
      </c>
      <c r="BH21">
        <v>10.888888888888889</v>
      </c>
      <c r="BI21">
        <v>39.676113360323889</v>
      </c>
      <c r="BJ21">
        <v>1.7777777777777777</v>
      </c>
      <c r="BK21">
        <v>1.2222222222222223</v>
      </c>
      <c r="BL21">
        <v>68.75</v>
      </c>
      <c r="BM21">
        <v>33.666666666666664</v>
      </c>
      <c r="BN21">
        <v>15.111111111111111</v>
      </c>
      <c r="BO21">
        <v>10.444444444444445</v>
      </c>
      <c r="BP21">
        <v>2</v>
      </c>
      <c r="BQ21">
        <v>0.66666666666666663</v>
      </c>
      <c r="BR21">
        <v>144.22222222222223</v>
      </c>
      <c r="BS21">
        <v>109.77777777777777</v>
      </c>
      <c r="BT21">
        <v>76.117103235747308</v>
      </c>
      <c r="BU21">
        <v>62</v>
      </c>
      <c r="BV21">
        <v>58.111111111111114</v>
      </c>
      <c r="BW21">
        <v>93.727598566308245</v>
      </c>
      <c r="BX21">
        <v>130.88888888888889</v>
      </c>
      <c r="BY21">
        <v>119.33333333333333</v>
      </c>
      <c r="BZ21">
        <v>91.171477079796276</v>
      </c>
      <c r="CA21">
        <v>32.777777777777779</v>
      </c>
      <c r="CB21">
        <v>18.333333333333332</v>
      </c>
      <c r="CC21">
        <v>55.932203389830505</v>
      </c>
      <c r="CD21">
        <v>50.222222222222221</v>
      </c>
      <c r="CE21">
        <v>37.444444444444443</v>
      </c>
      <c r="CF21">
        <v>74.557522123893804</v>
      </c>
      <c r="CG21">
        <v>59.666666666666664</v>
      </c>
      <c r="CH21">
        <v>43.666666666666664</v>
      </c>
      <c r="CI21">
        <v>73.184357541899431</v>
      </c>
      <c r="CJ21">
        <v>1.2222222222222223</v>
      </c>
      <c r="CK21">
        <v>0.66666666666666663</v>
      </c>
      <c r="CL21">
        <v>54.54545454545454</v>
      </c>
      <c r="CM21">
        <v>16.555555555555557</v>
      </c>
      <c r="CN21">
        <v>14.666666666666666</v>
      </c>
      <c r="CO21">
        <v>88.590604026845639</v>
      </c>
      <c r="CP21">
        <v>9.3333333333333339</v>
      </c>
      <c r="CQ21">
        <v>16.36</v>
      </c>
      <c r="CR21">
        <v>4.3433333333333328</v>
      </c>
      <c r="CS21">
        <v>8.9655555555555555</v>
      </c>
      <c r="CT21">
        <v>20.233333333333334</v>
      </c>
      <c r="CU21">
        <v>17.755555555555556</v>
      </c>
      <c r="CV21">
        <v>12.196666666666665</v>
      </c>
      <c r="CW21">
        <v>0.77777777777777779</v>
      </c>
      <c r="CX21">
        <v>0.82777777777777783</v>
      </c>
      <c r="CY21">
        <v>12.111111111111111</v>
      </c>
      <c r="CZ21">
        <v>3.4444444444444446</v>
      </c>
      <c r="DA21">
        <v>28.440366972477065</v>
      </c>
      <c r="DB21">
        <v>387.55555555555554</v>
      </c>
      <c r="DC21">
        <v>324.22222222222223</v>
      </c>
      <c r="DD21">
        <v>83.658256880733944</v>
      </c>
      <c r="DE21">
        <v>48.812222222222225</v>
      </c>
      <c r="DF21">
        <v>95.555555555555557</v>
      </c>
      <c r="DG21">
        <v>17.222222222222221</v>
      </c>
      <c r="DH21">
        <v>34</v>
      </c>
      <c r="DI21">
        <v>44.333333333333336</v>
      </c>
      <c r="DJ21">
        <v>75.222222222222229</v>
      </c>
      <c r="DK21">
        <v>35.555555555555557</v>
      </c>
      <c r="DL21">
        <v>28.777777777777779</v>
      </c>
      <c r="DM21">
        <v>10.888888888888889</v>
      </c>
      <c r="DN21">
        <v>162</v>
      </c>
      <c r="DO21">
        <v>74.666666666666671</v>
      </c>
      <c r="DP21">
        <v>46.090534979423872</v>
      </c>
      <c r="DQ21">
        <v>6.4444444444444446</v>
      </c>
      <c r="DR21">
        <v>1.2222222222222223</v>
      </c>
      <c r="DS21">
        <v>18.96551724137931</v>
      </c>
      <c r="DT21">
        <v>27.222222222222221</v>
      </c>
      <c r="DU21">
        <v>7.2222222222222223</v>
      </c>
      <c r="DV21">
        <v>26.530612244897959</v>
      </c>
      <c r="DW21">
        <v>0.1111111111111111</v>
      </c>
      <c r="DX21">
        <v>0</v>
      </c>
      <c r="DY21">
        <v>0</v>
      </c>
      <c r="DZ21">
        <v>23.666666666666668</v>
      </c>
      <c r="EA21">
        <v>4.333333333333333</v>
      </c>
      <c r="EB21">
        <v>18.30985915492958</v>
      </c>
      <c r="EC21">
        <v>5.4444444444444446</v>
      </c>
      <c r="ED21">
        <v>2</v>
      </c>
      <c r="EE21">
        <v>36.734693877551024</v>
      </c>
      <c r="EF21">
        <v>2.4444444444444446</v>
      </c>
      <c r="EG21">
        <v>0.66666666666666663</v>
      </c>
      <c r="EH21">
        <v>27.27272727272727</v>
      </c>
      <c r="EI21">
        <v>0</v>
      </c>
      <c r="EJ21">
        <v>0</v>
      </c>
      <c r="EK21">
        <v>0</v>
      </c>
      <c r="EL21">
        <v>12.888888888888889</v>
      </c>
      <c r="EM21">
        <v>4.8888888888888893</v>
      </c>
      <c r="EN21">
        <v>37.931034482758619</v>
      </c>
      <c r="EO21">
        <v>4.5555555555555554</v>
      </c>
      <c r="EP21">
        <v>6.666666666666667</v>
      </c>
      <c r="EQ21">
        <v>23</v>
      </c>
      <c r="ER21">
        <v>3.2222222222222223</v>
      </c>
      <c r="ES21">
        <v>8.1111111111111107</v>
      </c>
      <c r="ET21">
        <v>14.777777777777779</v>
      </c>
      <c r="EU21">
        <v>57.222222222222221</v>
      </c>
      <c r="EV21">
        <v>19.666666666666668</v>
      </c>
      <c r="EW21">
        <v>34.368932038834956</v>
      </c>
      <c r="EX21">
        <v>2.3333333333333335</v>
      </c>
      <c r="EY21">
        <v>54.111111111111114</v>
      </c>
      <c r="EZ21">
        <v>32.666666666666664</v>
      </c>
      <c r="FA21">
        <v>60.369609856262826</v>
      </c>
      <c r="FB21">
        <v>27.444444444444443</v>
      </c>
      <c r="FC21">
        <v>12.777777777777779</v>
      </c>
      <c r="FD21">
        <v>46.558704453441294</v>
      </c>
      <c r="FE21">
        <v>2.8888888888888888</v>
      </c>
      <c r="FF21">
        <v>1.5555555555555556</v>
      </c>
      <c r="FG21">
        <v>53.846153846153847</v>
      </c>
      <c r="FH21">
        <v>36.111111111111114</v>
      </c>
      <c r="FI21">
        <v>13.777777777777779</v>
      </c>
      <c r="FJ21">
        <v>10.111111111111111</v>
      </c>
      <c r="FK21">
        <v>2.8888888888888888</v>
      </c>
      <c r="FL21">
        <v>0.22222222222222221</v>
      </c>
      <c r="FM21">
        <v>132.44444444444446</v>
      </c>
      <c r="FN21">
        <v>99.222222222222229</v>
      </c>
      <c r="FO21">
        <v>74.916107382550337</v>
      </c>
      <c r="FP21">
        <v>55.333333333333336</v>
      </c>
      <c r="FQ21">
        <v>51.666666666666664</v>
      </c>
      <c r="FR21">
        <v>93.373493975903614</v>
      </c>
      <c r="FS21">
        <v>138.88888888888889</v>
      </c>
      <c r="FT21">
        <v>123.66666666666667</v>
      </c>
      <c r="FU21">
        <v>89.039999999999992</v>
      </c>
      <c r="FV21">
        <v>39.666666666666664</v>
      </c>
      <c r="FW21">
        <v>19.777777777777779</v>
      </c>
      <c r="FX21">
        <v>49.859943977591037</v>
      </c>
      <c r="FY21">
        <v>50.666666666666664</v>
      </c>
      <c r="FZ21">
        <v>37.333333333333336</v>
      </c>
      <c r="GA21">
        <v>73.68421052631578</v>
      </c>
      <c r="GB21">
        <v>65.888888888888886</v>
      </c>
      <c r="GC21">
        <v>47.555555555555557</v>
      </c>
      <c r="GD21">
        <v>72.175379426644184</v>
      </c>
      <c r="GE21">
        <v>0.55555555555555558</v>
      </c>
      <c r="GF21">
        <v>0.44444444444444442</v>
      </c>
      <c r="GG21">
        <v>80</v>
      </c>
      <c r="GH21">
        <v>17.222222222222221</v>
      </c>
      <c r="GI21">
        <v>16</v>
      </c>
      <c r="GJ21">
        <v>92.903225806451616</v>
      </c>
      <c r="GK21">
        <v>7.666666666666667</v>
      </c>
      <c r="GL21">
        <v>16.378888888888888</v>
      </c>
      <c r="GM21">
        <v>3.9300000000000006</v>
      </c>
      <c r="GN21">
        <v>11.036666666666669</v>
      </c>
      <c r="GO21">
        <v>20.783333333333335</v>
      </c>
      <c r="GP21">
        <v>19.480000000000004</v>
      </c>
      <c r="GQ21">
        <v>13.004444444444445</v>
      </c>
      <c r="GR21">
        <f t="shared" si="2"/>
        <v>1.167777777777778</v>
      </c>
      <c r="GS21">
        <f t="shared" si="3"/>
        <v>0.82777777777777783</v>
      </c>
      <c r="GT21">
        <f t="shared" si="4"/>
        <v>-0.11444444444444457</v>
      </c>
      <c r="GU21">
        <f t="shared" si="5"/>
        <v>-5.0000000000000044E-2</v>
      </c>
      <c r="GV21">
        <f t="shared" si="6"/>
        <v>5.7777777777777786</v>
      </c>
      <c r="GW21">
        <f t="shared" si="7"/>
        <v>5.6666666666666661</v>
      </c>
      <c r="GX21" s="2">
        <f t="shared" si="8"/>
        <v>0.45541401273885357</v>
      </c>
      <c r="GY21" s="2">
        <f t="shared" si="9"/>
        <v>0.40445859872611467</v>
      </c>
      <c r="GZ21" s="2">
        <f t="shared" si="10"/>
        <v>0.14012738853503187</v>
      </c>
      <c r="HA21">
        <f t="shared" si="11"/>
        <v>0.11349056603773586</v>
      </c>
      <c r="HB21">
        <f t="shared" si="12"/>
        <v>6.8348623853211013E-2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Alejandro Restrepo Dávila</dc:creator>
  <cp:lastModifiedBy>Luis Alejandro Restrepo Dávila</cp:lastModifiedBy>
  <dcterms:created xsi:type="dcterms:W3CDTF">2026-03-03T16:49:54Z</dcterms:created>
  <dcterms:modified xsi:type="dcterms:W3CDTF">2026-03-03T16:52:19Z</dcterms:modified>
</cp:coreProperties>
</file>